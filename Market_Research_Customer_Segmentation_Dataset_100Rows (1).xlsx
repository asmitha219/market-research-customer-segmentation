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drawings/drawing8.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ma\Downloads\"/>
    </mc:Choice>
  </mc:AlternateContent>
  <xr:revisionPtr revIDLastSave="0" documentId="13_ncr:1_{459B70BA-2DF2-4729-87FF-9B898BE2A0D1}" xr6:coauthVersionLast="47" xr6:coauthVersionMax="47" xr10:uidLastSave="{00000000-0000-0000-0000-000000000000}"/>
  <bookViews>
    <workbookView xWindow="-108" yWindow="-108" windowWidth="23256" windowHeight="13896" xr2:uid="{00000000-000D-0000-FFFF-FFFF00000000}"/>
  </bookViews>
  <sheets>
    <sheet name="Raw_Data" sheetId="1" r:id="rId1"/>
    <sheet name="Sheet4" sheetId="16" r:id="rId2"/>
    <sheet name="Sheet10" sheetId="22" r:id="rId3"/>
    <sheet name="Sheet11" sheetId="23" r:id="rId4"/>
    <sheet name="Sheet12" sheetId="24" r:id="rId5"/>
    <sheet name="Sheet13" sheetId="25" r:id="rId6"/>
    <sheet name="Sheet15" sheetId="27" r:id="rId7"/>
    <sheet name="Sheet16" sheetId="28" r:id="rId8"/>
    <sheet name="Cleaned Data" sheetId="2" r:id="rId9"/>
    <sheet name="Segmentation Sheet" sheetId="3" r:id="rId10"/>
    <sheet name="KPI Summary Sheet" sheetId="4" r:id="rId11"/>
    <sheet name="Dashboard" sheetId="6" r:id="rId12"/>
  </sheets>
  <definedNames>
    <definedName name="Slicer_City_Region">#N/A</definedName>
    <definedName name="Slicer_Customer_Segment">#N/A</definedName>
    <definedName name="Slicer_Purchase_Channel">#N/A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B5" i="4"/>
  <c r="B4" i="4"/>
  <c r="B3" i="4"/>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2" i="3"/>
</calcChain>
</file>

<file path=xl/sharedStrings.xml><?xml version="1.0" encoding="utf-8"?>
<sst xmlns="http://schemas.openxmlformats.org/spreadsheetml/2006/main" count="2591" uniqueCount="213">
  <si>
    <t>Customer ID</t>
  </si>
  <si>
    <t>Age</t>
  </si>
  <si>
    <t>Gender</t>
  </si>
  <si>
    <t>City/Region</t>
  </si>
  <si>
    <t>Income Level</t>
  </si>
  <si>
    <t>Occupation</t>
  </si>
  <si>
    <t>Purchase Frequency</t>
  </si>
  <si>
    <t>Average Order Value</t>
  </si>
  <si>
    <t>Total Spending</t>
  </si>
  <si>
    <t>Preferred Product Category</t>
  </si>
  <si>
    <t>Purchase Channel</t>
  </si>
  <si>
    <t>Customer Type</t>
  </si>
  <si>
    <t>Engagement Level</t>
  </si>
  <si>
    <t>Discount Sensitivity</t>
  </si>
  <si>
    <t>Last Purchase Date</t>
  </si>
  <si>
    <t>Customer Segment</t>
  </si>
  <si>
    <t>C001</t>
  </si>
  <si>
    <t>Male</t>
  </si>
  <si>
    <t>Bangalore</t>
  </si>
  <si>
    <t>Student</t>
  </si>
  <si>
    <t>Home Decor</t>
  </si>
  <si>
    <t>Online</t>
  </si>
  <si>
    <t>Returning</t>
  </si>
  <si>
    <t>High</t>
  </si>
  <si>
    <t>Medium</t>
  </si>
  <si>
    <t>08-Apr-26</t>
  </si>
  <si>
    <t>Regular</t>
  </si>
  <si>
    <t>C002</t>
  </si>
  <si>
    <t>Pune</t>
  </si>
  <si>
    <t>Analyst</t>
  </si>
  <si>
    <t>Offline</t>
  </si>
  <si>
    <t>New</t>
  </si>
  <si>
    <t>Low</t>
  </si>
  <si>
    <t>14-Feb-26</t>
  </si>
  <si>
    <t>C003</t>
  </si>
  <si>
    <t>Female</t>
  </si>
  <si>
    <t>Chennai</t>
  </si>
  <si>
    <t>IT Employee</t>
  </si>
  <si>
    <t>Grocery</t>
  </si>
  <si>
    <t>23-Feb-26</t>
  </si>
  <si>
    <t>High Value</t>
  </si>
  <si>
    <t>C004</t>
  </si>
  <si>
    <t>Delhi</t>
  </si>
  <si>
    <t>Entrepreneur</t>
  </si>
  <si>
    <t>Electronics</t>
  </si>
  <si>
    <t>01-Feb-26</t>
  </si>
  <si>
    <t>Discount Seekers</t>
  </si>
  <si>
    <t>C005</t>
  </si>
  <si>
    <t>Fashion</t>
  </si>
  <si>
    <t>14-Mar-26</t>
  </si>
  <si>
    <t>C006</t>
  </si>
  <si>
    <t>03-Feb-26</t>
  </si>
  <si>
    <t>C007</t>
  </si>
  <si>
    <t>20-Feb-26</t>
  </si>
  <si>
    <t>C008</t>
  </si>
  <si>
    <t>Teacher</t>
  </si>
  <si>
    <t>Beauty</t>
  </si>
  <si>
    <t>26-Mar-26</t>
  </si>
  <si>
    <t>C009</t>
  </si>
  <si>
    <t>Manager</t>
  </si>
  <si>
    <t>01-Apr-26</t>
  </si>
  <si>
    <t>Loyal</t>
  </si>
  <si>
    <t>C010</t>
  </si>
  <si>
    <t>C011</t>
  </si>
  <si>
    <t>13-Feb-26</t>
  </si>
  <si>
    <t>C012</t>
  </si>
  <si>
    <t>24-Feb-26</t>
  </si>
  <si>
    <t>C013</t>
  </si>
  <si>
    <t>Hyderabad</t>
  </si>
  <si>
    <t>13-Mar-26</t>
  </si>
  <si>
    <t>C014</t>
  </si>
  <si>
    <t>04-Feb-26</t>
  </si>
  <si>
    <t>C015</t>
  </si>
  <si>
    <t>Mumbai</t>
  </si>
  <si>
    <t>28-Mar-26</t>
  </si>
  <si>
    <t>C016</t>
  </si>
  <si>
    <t>04-Apr-26</t>
  </si>
  <si>
    <t>C017</t>
  </si>
  <si>
    <t>12-Mar-26</t>
  </si>
  <si>
    <t>C018</t>
  </si>
  <si>
    <t>06-Apr-26</t>
  </si>
  <si>
    <t>C019</t>
  </si>
  <si>
    <t>17-Feb-26</t>
  </si>
  <si>
    <t>C020</t>
  </si>
  <si>
    <t>C021</t>
  </si>
  <si>
    <t>C022</t>
  </si>
  <si>
    <t>05-Apr-26</t>
  </si>
  <si>
    <t>C023</t>
  </si>
  <si>
    <t>16-Jan-26</t>
  </si>
  <si>
    <t>C024</t>
  </si>
  <si>
    <t>17-Mar-26</t>
  </si>
  <si>
    <t>C025</t>
  </si>
  <si>
    <t>03-Apr-26</t>
  </si>
  <si>
    <t>C026</t>
  </si>
  <si>
    <t>24-Jan-26</t>
  </si>
  <si>
    <t>C027</t>
  </si>
  <si>
    <t>07-Mar-26</t>
  </si>
  <si>
    <t>C028</t>
  </si>
  <si>
    <t>07-Apr-26</t>
  </si>
  <si>
    <t>C029</t>
  </si>
  <si>
    <t>C030</t>
  </si>
  <si>
    <t>C031</t>
  </si>
  <si>
    <t>21-Mar-26</t>
  </si>
  <si>
    <t>C032</t>
  </si>
  <si>
    <t>11-Feb-26</t>
  </si>
  <si>
    <t>C033</t>
  </si>
  <si>
    <t>08-Mar-26</t>
  </si>
  <si>
    <t>C034</t>
  </si>
  <si>
    <t>10-Mar-26</t>
  </si>
  <si>
    <t>C035</t>
  </si>
  <si>
    <t>29-Jan-26</t>
  </si>
  <si>
    <t>C036</t>
  </si>
  <si>
    <t>C037</t>
  </si>
  <si>
    <t>13-Jan-26</t>
  </si>
  <si>
    <t>C038</t>
  </si>
  <si>
    <t>C039</t>
  </si>
  <si>
    <t>18-Jan-26</t>
  </si>
  <si>
    <t>C040</t>
  </si>
  <si>
    <t>09-Apr-26</t>
  </si>
  <si>
    <t>C041</t>
  </si>
  <si>
    <t>08-Feb-26</t>
  </si>
  <si>
    <t>C042</t>
  </si>
  <si>
    <t>31-Jan-26</t>
  </si>
  <si>
    <t>C043</t>
  </si>
  <si>
    <t>C044</t>
  </si>
  <si>
    <t>C045</t>
  </si>
  <si>
    <t>C046</t>
  </si>
  <si>
    <t>C047</t>
  </si>
  <si>
    <t>C048</t>
  </si>
  <si>
    <t>27-Mar-26</t>
  </si>
  <si>
    <t>C049</t>
  </si>
  <si>
    <t>C050</t>
  </si>
  <si>
    <t>10-Apr-26</t>
  </si>
  <si>
    <t>C051</t>
  </si>
  <si>
    <t>C052</t>
  </si>
  <si>
    <t>04-Mar-26</t>
  </si>
  <si>
    <t>C053</t>
  </si>
  <si>
    <t>C054</t>
  </si>
  <si>
    <t>11-Apr-26</t>
  </si>
  <si>
    <t>C055</t>
  </si>
  <si>
    <t>05-Feb-26</t>
  </si>
  <si>
    <t>C056</t>
  </si>
  <si>
    <t>C057</t>
  </si>
  <si>
    <t>26-Feb-26</t>
  </si>
  <si>
    <t>C058</t>
  </si>
  <si>
    <t>C059</t>
  </si>
  <si>
    <t>C060</t>
  </si>
  <si>
    <t>C061</t>
  </si>
  <si>
    <t>10-Feb-26</t>
  </si>
  <si>
    <t>C062</t>
  </si>
  <si>
    <t>C063</t>
  </si>
  <si>
    <t>C064</t>
  </si>
  <si>
    <t>C065</t>
  </si>
  <si>
    <t>C066</t>
  </si>
  <si>
    <t>C067</t>
  </si>
  <si>
    <t>C068</t>
  </si>
  <si>
    <t>29-Mar-26</t>
  </si>
  <si>
    <t>C069</t>
  </si>
  <si>
    <t>C070</t>
  </si>
  <si>
    <t>16-Feb-26</t>
  </si>
  <si>
    <t>C071</t>
  </si>
  <si>
    <t>C072</t>
  </si>
  <si>
    <t>C073</t>
  </si>
  <si>
    <t>C074</t>
  </si>
  <si>
    <t>19-Feb-26</t>
  </si>
  <si>
    <t>C075</t>
  </si>
  <si>
    <t>15-Feb-26</t>
  </si>
  <si>
    <t>C076</t>
  </si>
  <si>
    <t>15-Mar-26</t>
  </si>
  <si>
    <t>C077</t>
  </si>
  <si>
    <t>C078</t>
  </si>
  <si>
    <t>18-Feb-26</t>
  </si>
  <si>
    <t>C079</t>
  </si>
  <si>
    <t>C080</t>
  </si>
  <si>
    <t>C081</t>
  </si>
  <si>
    <t>C082</t>
  </si>
  <si>
    <t>C083</t>
  </si>
  <si>
    <t>22-Jan-26</t>
  </si>
  <si>
    <t>C084</t>
  </si>
  <si>
    <t>31-Mar-26</t>
  </si>
  <si>
    <t>C085</t>
  </si>
  <si>
    <t>C086</t>
  </si>
  <si>
    <t>28-Jan-26</t>
  </si>
  <si>
    <t>C087</t>
  </si>
  <si>
    <t>C088</t>
  </si>
  <si>
    <t>30-Mar-26</t>
  </si>
  <si>
    <t>C089</t>
  </si>
  <si>
    <t>30-Jan-26</t>
  </si>
  <si>
    <t>C090</t>
  </si>
  <si>
    <t>C091</t>
  </si>
  <si>
    <t>06-Mar-26</t>
  </si>
  <si>
    <t>C092</t>
  </si>
  <si>
    <t>11-Mar-26</t>
  </si>
  <si>
    <t>C093</t>
  </si>
  <si>
    <t>C094</t>
  </si>
  <si>
    <t>C095</t>
  </si>
  <si>
    <t>C096</t>
  </si>
  <si>
    <t>C097</t>
  </si>
  <si>
    <t>C098</t>
  </si>
  <si>
    <t>21-Feb-26</t>
  </si>
  <si>
    <t>C099</t>
  </si>
  <si>
    <t>C100</t>
  </si>
  <si>
    <t>KPI</t>
  </si>
  <si>
    <t>Values</t>
  </si>
  <si>
    <t>Total Customers</t>
  </si>
  <si>
    <t>Total Revenue</t>
  </si>
  <si>
    <t xml:space="preserve">Average Purchase Frequency </t>
  </si>
  <si>
    <t>Sum of Age</t>
  </si>
  <si>
    <t>Row Labels</t>
  </si>
  <si>
    <t>Grand Total</t>
  </si>
  <si>
    <t>Sum of Total Spending</t>
  </si>
  <si>
    <t>Count of Customer Segment</t>
  </si>
  <si>
    <t>Sum of Income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</si>
</sst>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2" fillId="2" borderId="0" xfId="0" applyFont="1"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[Market_Research_Customer_Segmentation_Dataset_100Rows (1).xlsx]Sheet4!PivotTable4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Sheet4!$A$4:$A$10</c:f>
              <c:strCache>
                <c:ptCount val="6"/>
                <c:pt idx="0">
                  <c:v>Bangalore</c:v>
                </c:pt>
                <c:pt idx="1">
                  <c:v>Chennai</c:v>
                </c:pt>
                <c:pt idx="2">
                  <c:v>Delhi</c:v>
                </c:pt>
                <c:pt idx="3">
                  <c:v>Hyderabad</c:v>
                </c:pt>
                <c:pt idx="4">
                  <c:v>Mumbai</c:v>
                </c:pt>
                <c:pt idx="5">
                  <c:v>Pune</c:v>
                </c:pt>
              </c:strCache>
            </c:strRef>
          </c:cat>
          <c:val>
            <c:numRef>
              <c:f>Sheet4!$B$4:$B$10</c:f>
              <c:numCache>
                <c:formatCode>General</c:formatCode>
                <c:ptCount val="6"/>
                <c:pt idx="0">
                  <c:v>100746</c:v>
                </c:pt>
                <c:pt idx="1">
                  <c:v>117573</c:v>
                </c:pt>
                <c:pt idx="2">
                  <c:v>313632</c:v>
                </c:pt>
                <c:pt idx="3">
                  <c:v>109217</c:v>
                </c:pt>
                <c:pt idx="4">
                  <c:v>200101</c:v>
                </c:pt>
                <c:pt idx="5">
                  <c:v>157953</c:v>
                </c:pt>
              </c:numCache>
            </c:numRef>
          </c:val>
          <c:extLst>
            <c:ext xmlns:c16="http://schemas.microsoft.com/office/drawing/2014/chart" uri="{C3380CC4-5D6E-409C-BE32-E72D297353CC}">
              <c16:uniqueId val="{00000000-A62C-47DC-AEDD-2BD8D1504795}"/>
            </c:ext>
          </c:extLst>
        </c:ser>
        <c:dLbls>
          <c:dLblPos val="inEnd"/>
          <c:showLegendKey val="0"/>
          <c:showVal val="1"/>
          <c:showCatName val="0"/>
          <c:showSerName val="0"/>
          <c:showPercent val="0"/>
          <c:showBubbleSize val="0"/>
        </c:dLbls>
        <c:gapWidth val="65"/>
        <c:axId val="1410032287"/>
        <c:axId val="1410027007"/>
      </c:barChart>
      <c:catAx>
        <c:axId val="14100322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0027007"/>
        <c:crosses val="autoZero"/>
        <c:auto val="1"/>
        <c:lblAlgn val="ctr"/>
        <c:lblOffset val="100"/>
        <c:noMultiLvlLbl val="0"/>
      </c:catAx>
      <c:valAx>
        <c:axId val="14100270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00322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[Market_Research_Customer_Segmentation_Dataset_100Rows (1).xlsx]Sheet10!PivotTable10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Sheet10!$B$3</c:f>
              <c:strCache>
                <c:ptCount val="1"/>
                <c:pt idx="0">
                  <c:v>Count of Customer Segment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12A-4450-95A9-3153AF66E57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12A-4450-95A9-3153AF66E57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12A-4450-95A9-3153AF66E57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12A-4450-95A9-3153AF66E57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12A-4450-95A9-3153AF66E5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Sheet10!$A$4:$A$9</c:f>
              <c:strCache>
                <c:ptCount val="5"/>
                <c:pt idx="0">
                  <c:v>Beauty</c:v>
                </c:pt>
                <c:pt idx="1">
                  <c:v>Electronics</c:v>
                </c:pt>
                <c:pt idx="2">
                  <c:v>Fashion</c:v>
                </c:pt>
                <c:pt idx="3">
                  <c:v>Grocery</c:v>
                </c:pt>
                <c:pt idx="4">
                  <c:v>Home Decor</c:v>
                </c:pt>
              </c:strCache>
            </c:strRef>
          </c:cat>
          <c:val>
            <c:numRef>
              <c:f>Sheet10!$B$4:$B$9</c:f>
              <c:numCache>
                <c:formatCode>General</c:formatCode>
                <c:ptCount val="5"/>
                <c:pt idx="0">
                  <c:v>18</c:v>
                </c:pt>
                <c:pt idx="1">
                  <c:v>11</c:v>
                </c:pt>
                <c:pt idx="2">
                  <c:v>25</c:v>
                </c:pt>
                <c:pt idx="3">
                  <c:v>20</c:v>
                </c:pt>
                <c:pt idx="4">
                  <c:v>26</c:v>
                </c:pt>
              </c:numCache>
            </c:numRef>
          </c:val>
          <c:extLst>
            <c:ext xmlns:c16="http://schemas.microsoft.com/office/drawing/2014/chart" uri="{C3380CC4-5D6E-409C-BE32-E72D297353CC}">
              <c16:uniqueId val="{00000000-CB4A-49AB-B537-3BB3B68F4CD9}"/>
            </c:ext>
          </c:extLst>
        </c:ser>
        <c:ser>
          <c:idx val="1"/>
          <c:order val="1"/>
          <c:tx>
            <c:strRef>
              <c:f>Sheet10!$C$3</c:f>
              <c:strCache>
                <c:ptCount val="1"/>
                <c:pt idx="0">
                  <c:v>Sum of Total Spending</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12A-4450-95A9-3153AF66E57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12A-4450-95A9-3153AF66E57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212A-4450-95A9-3153AF66E57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212A-4450-95A9-3153AF66E57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212A-4450-95A9-3153AF66E5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Sheet10!$A$4:$A$9</c:f>
              <c:strCache>
                <c:ptCount val="5"/>
                <c:pt idx="0">
                  <c:v>Beauty</c:v>
                </c:pt>
                <c:pt idx="1">
                  <c:v>Electronics</c:v>
                </c:pt>
                <c:pt idx="2">
                  <c:v>Fashion</c:v>
                </c:pt>
                <c:pt idx="3">
                  <c:v>Grocery</c:v>
                </c:pt>
                <c:pt idx="4">
                  <c:v>Home Decor</c:v>
                </c:pt>
              </c:strCache>
            </c:strRef>
          </c:cat>
          <c:val>
            <c:numRef>
              <c:f>Sheet10!$C$4:$C$9</c:f>
              <c:numCache>
                <c:formatCode>General</c:formatCode>
                <c:ptCount val="5"/>
                <c:pt idx="0">
                  <c:v>171242</c:v>
                </c:pt>
                <c:pt idx="1">
                  <c:v>91837</c:v>
                </c:pt>
                <c:pt idx="2">
                  <c:v>288808</c:v>
                </c:pt>
                <c:pt idx="3">
                  <c:v>219684</c:v>
                </c:pt>
                <c:pt idx="4">
                  <c:v>227651</c:v>
                </c:pt>
              </c:numCache>
            </c:numRef>
          </c:val>
          <c:extLst>
            <c:ext xmlns:c16="http://schemas.microsoft.com/office/drawing/2014/chart" uri="{C3380CC4-5D6E-409C-BE32-E72D297353CC}">
              <c16:uniqueId val="{00000002-CB4A-49AB-B537-3BB3B68F4CD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[Market_Research_Customer_Segmentation_Dataset_100Rows (1).xlsx]Sheet11!PivotTable11</c:name>
    <c:fmtId val="0"/>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Sheet11!$B$3</c:f>
              <c:strCache>
                <c:ptCount val="1"/>
                <c:pt idx="0">
                  <c:v>Sum of Age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Sheet11!$A$4:$A$13</c:f>
              <c:multiLvlStrCache>
                <c:ptCount val="6"/>
                <c:lvl>
                  <c:pt idx="0">
                    <c:v>New</c:v>
                  </c:pt>
                  <c:pt idx="1">
                    <c:v>Returning</c:v>
                  </c:pt>
                  <c:pt idx="2">
                    <c:v>New</c:v>
                  </c:pt>
                  <c:pt idx="3">
                    <c:v>Returning</c:v>
                  </c:pt>
                  <c:pt idx="4">
                    <c:v>New</c:v>
                  </c:pt>
                  <c:pt idx="5">
                    <c:v>Returning</c:v>
                  </c:pt>
                </c:lvl>
                <c:lvl>
                  <c:pt idx="0">
                    <c:v>High</c:v>
                  </c:pt>
                  <c:pt idx="2">
                    <c:v>Low</c:v>
                  </c:pt>
                  <c:pt idx="4">
                    <c:v>Medium</c:v>
                  </c:pt>
                </c:lvl>
              </c:multiLvlStrCache>
            </c:multiLvlStrRef>
          </c:cat>
          <c:val>
            <c:numRef>
              <c:f>Sheet11!$B$4:$B$13</c:f>
              <c:numCache>
                <c:formatCode>General</c:formatCode>
                <c:ptCount val="6"/>
                <c:pt idx="0">
                  <c:v>721</c:v>
                </c:pt>
                <c:pt idx="1">
                  <c:v>871</c:v>
                </c:pt>
                <c:pt idx="2">
                  <c:v>454</c:v>
                </c:pt>
                <c:pt idx="3">
                  <c:v>316</c:v>
                </c:pt>
                <c:pt idx="4">
                  <c:v>605</c:v>
                </c:pt>
                <c:pt idx="5">
                  <c:v>803</c:v>
                </c:pt>
              </c:numCache>
            </c:numRef>
          </c:val>
          <c:extLst>
            <c:ext xmlns:c16="http://schemas.microsoft.com/office/drawing/2014/chart" uri="{C3380CC4-5D6E-409C-BE32-E72D297353CC}">
              <c16:uniqueId val="{00000000-D514-4DE6-9DC7-3BF0E5E23B0E}"/>
            </c:ext>
          </c:extLst>
        </c:ser>
        <c:ser>
          <c:idx val="1"/>
          <c:order val="1"/>
          <c:tx>
            <c:strRef>
              <c:f>Sheet11!$C$3</c:f>
              <c:strCache>
                <c:ptCount val="1"/>
                <c:pt idx="0">
                  <c:v>Sum of Income Level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multiLvlStrRef>
              <c:f>Sheet11!$A$4:$A$13</c:f>
              <c:multiLvlStrCache>
                <c:ptCount val="6"/>
                <c:lvl>
                  <c:pt idx="0">
                    <c:v>New</c:v>
                  </c:pt>
                  <c:pt idx="1">
                    <c:v>Returning</c:v>
                  </c:pt>
                  <c:pt idx="2">
                    <c:v>New</c:v>
                  </c:pt>
                  <c:pt idx="3">
                    <c:v>Returning</c:v>
                  </c:pt>
                  <c:pt idx="4">
                    <c:v>New</c:v>
                  </c:pt>
                  <c:pt idx="5">
                    <c:v>Returning</c:v>
                  </c:pt>
                </c:lvl>
                <c:lvl>
                  <c:pt idx="0">
                    <c:v>High</c:v>
                  </c:pt>
                  <c:pt idx="2">
                    <c:v>Low</c:v>
                  </c:pt>
                  <c:pt idx="4">
                    <c:v>Medium</c:v>
                  </c:pt>
                </c:lvl>
              </c:multiLvlStrCache>
            </c:multiLvlStrRef>
          </c:cat>
          <c:val>
            <c:numRef>
              <c:f>Sheet11!$C$4:$C$13</c:f>
              <c:numCache>
                <c:formatCode>General</c:formatCode>
                <c:ptCount val="6"/>
                <c:pt idx="0">
                  <c:v>1582447</c:v>
                </c:pt>
                <c:pt idx="1">
                  <c:v>1986104</c:v>
                </c:pt>
                <c:pt idx="2">
                  <c:v>876117</c:v>
                </c:pt>
                <c:pt idx="3">
                  <c:v>1030707</c:v>
                </c:pt>
                <c:pt idx="4">
                  <c:v>1455369</c:v>
                </c:pt>
                <c:pt idx="5">
                  <c:v>1760715</c:v>
                </c:pt>
              </c:numCache>
            </c:numRef>
          </c:val>
          <c:extLst>
            <c:ext xmlns:c16="http://schemas.microsoft.com/office/drawing/2014/chart" uri="{C3380CC4-5D6E-409C-BE32-E72D297353CC}">
              <c16:uniqueId val="{00000002-D514-4DE6-9DC7-3BF0E5E23B0E}"/>
            </c:ext>
          </c:extLst>
        </c:ser>
        <c:ser>
          <c:idx val="2"/>
          <c:order val="2"/>
          <c:tx>
            <c:strRef>
              <c:f>Sheet11!$D$3</c:f>
              <c:strCache>
                <c:ptCount val="1"/>
                <c:pt idx="0">
                  <c:v>Sum of Total Spending</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multiLvlStrRef>
              <c:f>Sheet11!$A$4:$A$13</c:f>
              <c:multiLvlStrCache>
                <c:ptCount val="6"/>
                <c:lvl>
                  <c:pt idx="0">
                    <c:v>New</c:v>
                  </c:pt>
                  <c:pt idx="1">
                    <c:v>Returning</c:v>
                  </c:pt>
                  <c:pt idx="2">
                    <c:v>New</c:v>
                  </c:pt>
                  <c:pt idx="3">
                    <c:v>Returning</c:v>
                  </c:pt>
                  <c:pt idx="4">
                    <c:v>New</c:v>
                  </c:pt>
                  <c:pt idx="5">
                    <c:v>Returning</c:v>
                  </c:pt>
                </c:lvl>
                <c:lvl>
                  <c:pt idx="0">
                    <c:v>High</c:v>
                  </c:pt>
                  <c:pt idx="2">
                    <c:v>Low</c:v>
                  </c:pt>
                  <c:pt idx="4">
                    <c:v>Medium</c:v>
                  </c:pt>
                </c:lvl>
              </c:multiLvlStrCache>
            </c:multiLvlStrRef>
          </c:cat>
          <c:val>
            <c:numRef>
              <c:f>Sheet11!$D$4:$D$13</c:f>
              <c:numCache>
                <c:formatCode>General</c:formatCode>
                <c:ptCount val="6"/>
                <c:pt idx="0">
                  <c:v>191630</c:v>
                </c:pt>
                <c:pt idx="1">
                  <c:v>267000</c:v>
                </c:pt>
                <c:pt idx="2">
                  <c:v>121544</c:v>
                </c:pt>
                <c:pt idx="3">
                  <c:v>111451</c:v>
                </c:pt>
                <c:pt idx="4">
                  <c:v>141435</c:v>
                </c:pt>
                <c:pt idx="5">
                  <c:v>166162</c:v>
                </c:pt>
              </c:numCache>
            </c:numRef>
          </c:val>
          <c:extLst>
            <c:ext xmlns:c16="http://schemas.microsoft.com/office/drawing/2014/chart" uri="{C3380CC4-5D6E-409C-BE32-E72D297353CC}">
              <c16:uniqueId val="{00000003-D514-4DE6-9DC7-3BF0E5E23B0E}"/>
            </c:ext>
          </c:extLst>
        </c:ser>
        <c:dLbls>
          <c:showLegendKey val="0"/>
          <c:showVal val="0"/>
          <c:showCatName val="0"/>
          <c:showSerName val="0"/>
          <c:showPercent val="0"/>
          <c:showBubbleSize val="0"/>
        </c:dLbls>
        <c:gapWidth val="65"/>
        <c:shape val="box"/>
        <c:axId val="1972560175"/>
        <c:axId val="1972556815"/>
        <c:axId val="0"/>
      </c:bar3DChart>
      <c:catAx>
        <c:axId val="19725601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2556815"/>
        <c:crosses val="autoZero"/>
        <c:auto val="1"/>
        <c:lblAlgn val="ctr"/>
        <c:lblOffset val="100"/>
        <c:noMultiLvlLbl val="0"/>
      </c:catAx>
      <c:valAx>
        <c:axId val="19725568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25601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[Market_Research_Customer_Segmentation_Dataset_100Rows (1).xlsx]Sheet12!PivotTable12</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Sheet12!$A$4:$A$16</c:f>
              <c:multiLvlStrCache>
                <c:ptCount val="10"/>
                <c:lvl>
                  <c:pt idx="0">
                    <c:v>Beauty</c:v>
                  </c:pt>
                  <c:pt idx="1">
                    <c:v>Electronics</c:v>
                  </c:pt>
                  <c:pt idx="2">
                    <c:v>Fashion</c:v>
                  </c:pt>
                  <c:pt idx="3">
                    <c:v>Grocery</c:v>
                  </c:pt>
                  <c:pt idx="4">
                    <c:v>Home Decor</c:v>
                  </c:pt>
                  <c:pt idx="5">
                    <c:v>Beauty</c:v>
                  </c:pt>
                  <c:pt idx="6">
                    <c:v>Electronics</c:v>
                  </c:pt>
                  <c:pt idx="7">
                    <c:v>Fashion</c:v>
                  </c:pt>
                  <c:pt idx="8">
                    <c:v>Grocery</c:v>
                  </c:pt>
                  <c:pt idx="9">
                    <c:v>Home Decor</c:v>
                  </c:pt>
                </c:lvl>
                <c:lvl>
                  <c:pt idx="0">
                    <c:v>Female</c:v>
                  </c:pt>
                  <c:pt idx="5">
                    <c:v>Male</c:v>
                  </c:pt>
                </c:lvl>
              </c:multiLvlStrCache>
            </c:multiLvlStrRef>
          </c:cat>
          <c:val>
            <c:numRef>
              <c:f>Sheet12!$B$4:$B$16</c:f>
              <c:numCache>
                <c:formatCode>General</c:formatCode>
                <c:ptCount val="10"/>
                <c:pt idx="0">
                  <c:v>104575</c:v>
                </c:pt>
                <c:pt idx="1">
                  <c:v>57870</c:v>
                </c:pt>
                <c:pt idx="2">
                  <c:v>133903</c:v>
                </c:pt>
                <c:pt idx="3">
                  <c:v>159067</c:v>
                </c:pt>
                <c:pt idx="4">
                  <c:v>98416</c:v>
                </c:pt>
                <c:pt idx="5">
                  <c:v>66667</c:v>
                </c:pt>
                <c:pt idx="6">
                  <c:v>33967</c:v>
                </c:pt>
                <c:pt idx="7">
                  <c:v>154905</c:v>
                </c:pt>
                <c:pt idx="8">
                  <c:v>60617</c:v>
                </c:pt>
                <c:pt idx="9">
                  <c:v>129235</c:v>
                </c:pt>
              </c:numCache>
            </c:numRef>
          </c:val>
          <c:smooth val="0"/>
          <c:extLst>
            <c:ext xmlns:c16="http://schemas.microsoft.com/office/drawing/2014/chart" uri="{C3380CC4-5D6E-409C-BE32-E72D297353CC}">
              <c16:uniqueId val="{00000000-0103-42D2-AB34-5B8D9A0CEBC2}"/>
            </c:ext>
          </c:extLst>
        </c:ser>
        <c:dLbls>
          <c:showLegendKey val="0"/>
          <c:showVal val="0"/>
          <c:showCatName val="0"/>
          <c:showSerName val="0"/>
          <c:showPercent val="0"/>
          <c:showBubbleSize val="0"/>
        </c:dLbls>
        <c:marker val="1"/>
        <c:smooth val="0"/>
        <c:axId val="2082188047"/>
        <c:axId val="2082188527"/>
      </c:lineChart>
      <c:catAx>
        <c:axId val="2082188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188527"/>
        <c:crosses val="autoZero"/>
        <c:auto val="1"/>
        <c:lblAlgn val="ctr"/>
        <c:lblOffset val="100"/>
        <c:noMultiLvlLbl val="0"/>
      </c:catAx>
      <c:valAx>
        <c:axId val="208218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18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[Market_Research_Customer_Segmentation_Dataset_100Rows (1).xlsx]Sheet4!PivotTable4</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3031496062992"/>
          <c:y val="0.26275262467191601"/>
          <c:w val="0.46106714785651792"/>
          <c:h val="0.60669983960338292"/>
        </c:manualLayout>
      </c:layout>
      <c:barChart>
        <c:barDir val="bar"/>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Sheet4!$A$4:$A$10</c:f>
              <c:strCache>
                <c:ptCount val="6"/>
                <c:pt idx="0">
                  <c:v>Bangalore</c:v>
                </c:pt>
                <c:pt idx="1">
                  <c:v>Chennai</c:v>
                </c:pt>
                <c:pt idx="2">
                  <c:v>Delhi</c:v>
                </c:pt>
                <c:pt idx="3">
                  <c:v>Hyderabad</c:v>
                </c:pt>
                <c:pt idx="4">
                  <c:v>Mumbai</c:v>
                </c:pt>
                <c:pt idx="5">
                  <c:v>Pune</c:v>
                </c:pt>
              </c:strCache>
            </c:strRef>
          </c:cat>
          <c:val>
            <c:numRef>
              <c:f>Sheet4!$B$4:$B$10</c:f>
              <c:numCache>
                <c:formatCode>General</c:formatCode>
                <c:ptCount val="6"/>
                <c:pt idx="0">
                  <c:v>100746</c:v>
                </c:pt>
                <c:pt idx="1">
                  <c:v>117573</c:v>
                </c:pt>
                <c:pt idx="2">
                  <c:v>313632</c:v>
                </c:pt>
                <c:pt idx="3">
                  <c:v>109217</c:v>
                </c:pt>
                <c:pt idx="4">
                  <c:v>200101</c:v>
                </c:pt>
                <c:pt idx="5">
                  <c:v>157953</c:v>
                </c:pt>
              </c:numCache>
            </c:numRef>
          </c:val>
          <c:extLst>
            <c:ext xmlns:c16="http://schemas.microsoft.com/office/drawing/2014/chart" uri="{C3380CC4-5D6E-409C-BE32-E72D297353CC}">
              <c16:uniqueId val="{00000000-82B1-4351-B2DF-49BEAB9D0741}"/>
            </c:ext>
          </c:extLst>
        </c:ser>
        <c:dLbls>
          <c:dLblPos val="inEnd"/>
          <c:showLegendKey val="0"/>
          <c:showVal val="1"/>
          <c:showCatName val="0"/>
          <c:showSerName val="0"/>
          <c:showPercent val="0"/>
          <c:showBubbleSize val="0"/>
        </c:dLbls>
        <c:gapWidth val="65"/>
        <c:axId val="1410032287"/>
        <c:axId val="1410027007"/>
      </c:barChart>
      <c:catAx>
        <c:axId val="14100322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0027007"/>
        <c:crosses val="autoZero"/>
        <c:auto val="1"/>
        <c:lblAlgn val="ctr"/>
        <c:lblOffset val="100"/>
        <c:noMultiLvlLbl val="0"/>
      </c:catAx>
      <c:valAx>
        <c:axId val="14100270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00322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[Market_Research_Customer_Segmentation_Dataset_100Rows (1).xlsx]Sheet10!PivotTable10</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Sheet10!$B$3</c:f>
              <c:strCache>
                <c:ptCount val="1"/>
                <c:pt idx="0">
                  <c:v>Count of Customer Segment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466-49FB-8225-CCC02C08305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66-49FB-8225-CCC02C08305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466-49FB-8225-CCC02C08305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466-49FB-8225-CCC02C08305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466-49FB-8225-CCC02C0830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Sheet10!$A$4:$A$9</c:f>
              <c:strCache>
                <c:ptCount val="5"/>
                <c:pt idx="0">
                  <c:v>Beauty</c:v>
                </c:pt>
                <c:pt idx="1">
                  <c:v>Electronics</c:v>
                </c:pt>
                <c:pt idx="2">
                  <c:v>Fashion</c:v>
                </c:pt>
                <c:pt idx="3">
                  <c:v>Grocery</c:v>
                </c:pt>
                <c:pt idx="4">
                  <c:v>Home Decor</c:v>
                </c:pt>
              </c:strCache>
            </c:strRef>
          </c:cat>
          <c:val>
            <c:numRef>
              <c:f>Sheet10!$B$4:$B$9</c:f>
              <c:numCache>
                <c:formatCode>General</c:formatCode>
                <c:ptCount val="5"/>
                <c:pt idx="0">
                  <c:v>18</c:v>
                </c:pt>
                <c:pt idx="1">
                  <c:v>11</c:v>
                </c:pt>
                <c:pt idx="2">
                  <c:v>25</c:v>
                </c:pt>
                <c:pt idx="3">
                  <c:v>20</c:v>
                </c:pt>
                <c:pt idx="4">
                  <c:v>26</c:v>
                </c:pt>
              </c:numCache>
            </c:numRef>
          </c:val>
          <c:extLst>
            <c:ext xmlns:c16="http://schemas.microsoft.com/office/drawing/2014/chart" uri="{C3380CC4-5D6E-409C-BE32-E72D297353CC}">
              <c16:uniqueId val="{0000000A-F466-49FB-8225-CCC02C083051}"/>
            </c:ext>
          </c:extLst>
        </c:ser>
        <c:ser>
          <c:idx val="1"/>
          <c:order val="1"/>
          <c:tx>
            <c:strRef>
              <c:f>Sheet10!$C$3</c:f>
              <c:strCache>
                <c:ptCount val="1"/>
                <c:pt idx="0">
                  <c:v>Sum of Total Spending</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F466-49FB-8225-CCC02C08305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F466-49FB-8225-CCC02C08305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F466-49FB-8225-CCC02C08305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F466-49FB-8225-CCC02C08305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F466-49FB-8225-CCC02C0830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Sheet10!$A$4:$A$9</c:f>
              <c:strCache>
                <c:ptCount val="5"/>
                <c:pt idx="0">
                  <c:v>Beauty</c:v>
                </c:pt>
                <c:pt idx="1">
                  <c:v>Electronics</c:v>
                </c:pt>
                <c:pt idx="2">
                  <c:v>Fashion</c:v>
                </c:pt>
                <c:pt idx="3">
                  <c:v>Grocery</c:v>
                </c:pt>
                <c:pt idx="4">
                  <c:v>Home Decor</c:v>
                </c:pt>
              </c:strCache>
            </c:strRef>
          </c:cat>
          <c:val>
            <c:numRef>
              <c:f>Sheet10!$C$4:$C$9</c:f>
              <c:numCache>
                <c:formatCode>General</c:formatCode>
                <c:ptCount val="5"/>
                <c:pt idx="0">
                  <c:v>171242</c:v>
                </c:pt>
                <c:pt idx="1">
                  <c:v>91837</c:v>
                </c:pt>
                <c:pt idx="2">
                  <c:v>288808</c:v>
                </c:pt>
                <c:pt idx="3">
                  <c:v>219684</c:v>
                </c:pt>
                <c:pt idx="4">
                  <c:v>227651</c:v>
                </c:pt>
              </c:numCache>
            </c:numRef>
          </c:val>
          <c:extLst>
            <c:ext xmlns:c16="http://schemas.microsoft.com/office/drawing/2014/chart" uri="{C3380CC4-5D6E-409C-BE32-E72D297353CC}">
              <c16:uniqueId val="{00000015-F466-49FB-8225-CCC02C08305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[Market_Research_Customer_Segmentation_Dataset_100Rows (1).xlsx]Sheet11!PivotTable11</c:name>
    <c:fmtId val="6"/>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Sheet11!$B$3</c:f>
              <c:strCache>
                <c:ptCount val="1"/>
                <c:pt idx="0">
                  <c:v>Sum of Age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Sheet11!$A$4:$A$13</c:f>
              <c:multiLvlStrCache>
                <c:ptCount val="6"/>
                <c:lvl>
                  <c:pt idx="0">
                    <c:v>New</c:v>
                  </c:pt>
                  <c:pt idx="1">
                    <c:v>Returning</c:v>
                  </c:pt>
                  <c:pt idx="2">
                    <c:v>New</c:v>
                  </c:pt>
                  <c:pt idx="3">
                    <c:v>Returning</c:v>
                  </c:pt>
                  <c:pt idx="4">
                    <c:v>New</c:v>
                  </c:pt>
                  <c:pt idx="5">
                    <c:v>Returning</c:v>
                  </c:pt>
                </c:lvl>
                <c:lvl>
                  <c:pt idx="0">
                    <c:v>High</c:v>
                  </c:pt>
                  <c:pt idx="2">
                    <c:v>Low</c:v>
                  </c:pt>
                  <c:pt idx="4">
                    <c:v>Medium</c:v>
                  </c:pt>
                </c:lvl>
              </c:multiLvlStrCache>
            </c:multiLvlStrRef>
          </c:cat>
          <c:val>
            <c:numRef>
              <c:f>Sheet11!$B$4:$B$13</c:f>
              <c:numCache>
                <c:formatCode>General</c:formatCode>
                <c:ptCount val="6"/>
                <c:pt idx="0">
                  <c:v>721</c:v>
                </c:pt>
                <c:pt idx="1">
                  <c:v>871</c:v>
                </c:pt>
                <c:pt idx="2">
                  <c:v>454</c:v>
                </c:pt>
                <c:pt idx="3">
                  <c:v>316</c:v>
                </c:pt>
                <c:pt idx="4">
                  <c:v>605</c:v>
                </c:pt>
                <c:pt idx="5">
                  <c:v>803</c:v>
                </c:pt>
              </c:numCache>
            </c:numRef>
          </c:val>
          <c:extLst>
            <c:ext xmlns:c16="http://schemas.microsoft.com/office/drawing/2014/chart" uri="{C3380CC4-5D6E-409C-BE32-E72D297353CC}">
              <c16:uniqueId val="{00000000-9EA9-4BB4-9521-B5605B7BE7C8}"/>
            </c:ext>
          </c:extLst>
        </c:ser>
        <c:ser>
          <c:idx val="1"/>
          <c:order val="1"/>
          <c:tx>
            <c:strRef>
              <c:f>Sheet11!$C$3</c:f>
              <c:strCache>
                <c:ptCount val="1"/>
                <c:pt idx="0">
                  <c:v>Sum of Income Level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multiLvlStrRef>
              <c:f>Sheet11!$A$4:$A$13</c:f>
              <c:multiLvlStrCache>
                <c:ptCount val="6"/>
                <c:lvl>
                  <c:pt idx="0">
                    <c:v>New</c:v>
                  </c:pt>
                  <c:pt idx="1">
                    <c:v>Returning</c:v>
                  </c:pt>
                  <c:pt idx="2">
                    <c:v>New</c:v>
                  </c:pt>
                  <c:pt idx="3">
                    <c:v>Returning</c:v>
                  </c:pt>
                  <c:pt idx="4">
                    <c:v>New</c:v>
                  </c:pt>
                  <c:pt idx="5">
                    <c:v>Returning</c:v>
                  </c:pt>
                </c:lvl>
                <c:lvl>
                  <c:pt idx="0">
                    <c:v>High</c:v>
                  </c:pt>
                  <c:pt idx="2">
                    <c:v>Low</c:v>
                  </c:pt>
                  <c:pt idx="4">
                    <c:v>Medium</c:v>
                  </c:pt>
                </c:lvl>
              </c:multiLvlStrCache>
            </c:multiLvlStrRef>
          </c:cat>
          <c:val>
            <c:numRef>
              <c:f>Sheet11!$C$4:$C$13</c:f>
              <c:numCache>
                <c:formatCode>General</c:formatCode>
                <c:ptCount val="6"/>
                <c:pt idx="0">
                  <c:v>1582447</c:v>
                </c:pt>
                <c:pt idx="1">
                  <c:v>1986104</c:v>
                </c:pt>
                <c:pt idx="2">
                  <c:v>876117</c:v>
                </c:pt>
                <c:pt idx="3">
                  <c:v>1030707</c:v>
                </c:pt>
                <c:pt idx="4">
                  <c:v>1455369</c:v>
                </c:pt>
                <c:pt idx="5">
                  <c:v>1760715</c:v>
                </c:pt>
              </c:numCache>
            </c:numRef>
          </c:val>
          <c:extLst>
            <c:ext xmlns:c16="http://schemas.microsoft.com/office/drawing/2014/chart" uri="{C3380CC4-5D6E-409C-BE32-E72D297353CC}">
              <c16:uniqueId val="{00000001-9EA9-4BB4-9521-B5605B7BE7C8}"/>
            </c:ext>
          </c:extLst>
        </c:ser>
        <c:ser>
          <c:idx val="2"/>
          <c:order val="2"/>
          <c:tx>
            <c:strRef>
              <c:f>Sheet11!$D$3</c:f>
              <c:strCache>
                <c:ptCount val="1"/>
                <c:pt idx="0">
                  <c:v>Sum of Total Spending</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multiLvlStrRef>
              <c:f>Sheet11!$A$4:$A$13</c:f>
              <c:multiLvlStrCache>
                <c:ptCount val="6"/>
                <c:lvl>
                  <c:pt idx="0">
                    <c:v>New</c:v>
                  </c:pt>
                  <c:pt idx="1">
                    <c:v>Returning</c:v>
                  </c:pt>
                  <c:pt idx="2">
                    <c:v>New</c:v>
                  </c:pt>
                  <c:pt idx="3">
                    <c:v>Returning</c:v>
                  </c:pt>
                  <c:pt idx="4">
                    <c:v>New</c:v>
                  </c:pt>
                  <c:pt idx="5">
                    <c:v>Returning</c:v>
                  </c:pt>
                </c:lvl>
                <c:lvl>
                  <c:pt idx="0">
                    <c:v>High</c:v>
                  </c:pt>
                  <c:pt idx="2">
                    <c:v>Low</c:v>
                  </c:pt>
                  <c:pt idx="4">
                    <c:v>Medium</c:v>
                  </c:pt>
                </c:lvl>
              </c:multiLvlStrCache>
            </c:multiLvlStrRef>
          </c:cat>
          <c:val>
            <c:numRef>
              <c:f>Sheet11!$D$4:$D$13</c:f>
              <c:numCache>
                <c:formatCode>General</c:formatCode>
                <c:ptCount val="6"/>
                <c:pt idx="0">
                  <c:v>191630</c:v>
                </c:pt>
                <c:pt idx="1">
                  <c:v>267000</c:v>
                </c:pt>
                <c:pt idx="2">
                  <c:v>121544</c:v>
                </c:pt>
                <c:pt idx="3">
                  <c:v>111451</c:v>
                </c:pt>
                <c:pt idx="4">
                  <c:v>141435</c:v>
                </c:pt>
                <c:pt idx="5">
                  <c:v>166162</c:v>
                </c:pt>
              </c:numCache>
            </c:numRef>
          </c:val>
          <c:extLst>
            <c:ext xmlns:c16="http://schemas.microsoft.com/office/drawing/2014/chart" uri="{C3380CC4-5D6E-409C-BE32-E72D297353CC}">
              <c16:uniqueId val="{00000002-9EA9-4BB4-9521-B5605B7BE7C8}"/>
            </c:ext>
          </c:extLst>
        </c:ser>
        <c:dLbls>
          <c:showLegendKey val="0"/>
          <c:showVal val="0"/>
          <c:showCatName val="0"/>
          <c:showSerName val="0"/>
          <c:showPercent val="0"/>
          <c:showBubbleSize val="0"/>
        </c:dLbls>
        <c:gapWidth val="65"/>
        <c:shape val="box"/>
        <c:axId val="1972560175"/>
        <c:axId val="1972556815"/>
        <c:axId val="0"/>
      </c:bar3DChart>
      <c:catAx>
        <c:axId val="19725601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2556815"/>
        <c:crosses val="autoZero"/>
        <c:auto val="1"/>
        <c:lblAlgn val="ctr"/>
        <c:lblOffset val="100"/>
        <c:noMultiLvlLbl val="0"/>
      </c:catAx>
      <c:valAx>
        <c:axId val="19725568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25601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[Market_Research_Customer_Segmentation_Dataset_100Rows (1).xlsx]Sheet12!PivotTable12</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Sheet12!$A$4:$A$16</c:f>
              <c:multiLvlStrCache>
                <c:ptCount val="10"/>
                <c:lvl>
                  <c:pt idx="0">
                    <c:v>Beauty</c:v>
                  </c:pt>
                  <c:pt idx="1">
                    <c:v>Electronics</c:v>
                  </c:pt>
                  <c:pt idx="2">
                    <c:v>Fashion</c:v>
                  </c:pt>
                  <c:pt idx="3">
                    <c:v>Grocery</c:v>
                  </c:pt>
                  <c:pt idx="4">
                    <c:v>Home Decor</c:v>
                  </c:pt>
                  <c:pt idx="5">
                    <c:v>Beauty</c:v>
                  </c:pt>
                  <c:pt idx="6">
                    <c:v>Electronics</c:v>
                  </c:pt>
                  <c:pt idx="7">
                    <c:v>Fashion</c:v>
                  </c:pt>
                  <c:pt idx="8">
                    <c:v>Grocery</c:v>
                  </c:pt>
                  <c:pt idx="9">
                    <c:v>Home Decor</c:v>
                  </c:pt>
                </c:lvl>
                <c:lvl>
                  <c:pt idx="0">
                    <c:v>Female</c:v>
                  </c:pt>
                  <c:pt idx="5">
                    <c:v>Male</c:v>
                  </c:pt>
                </c:lvl>
              </c:multiLvlStrCache>
            </c:multiLvlStrRef>
          </c:cat>
          <c:val>
            <c:numRef>
              <c:f>Sheet12!$B$4:$B$16</c:f>
              <c:numCache>
                <c:formatCode>General</c:formatCode>
                <c:ptCount val="10"/>
                <c:pt idx="0">
                  <c:v>104575</c:v>
                </c:pt>
                <c:pt idx="1">
                  <c:v>57870</c:v>
                </c:pt>
                <c:pt idx="2">
                  <c:v>133903</c:v>
                </c:pt>
                <c:pt idx="3">
                  <c:v>159067</c:v>
                </c:pt>
                <c:pt idx="4">
                  <c:v>98416</c:v>
                </c:pt>
                <c:pt idx="5">
                  <c:v>66667</c:v>
                </c:pt>
                <c:pt idx="6">
                  <c:v>33967</c:v>
                </c:pt>
                <c:pt idx="7">
                  <c:v>154905</c:v>
                </c:pt>
                <c:pt idx="8">
                  <c:v>60617</c:v>
                </c:pt>
                <c:pt idx="9">
                  <c:v>129235</c:v>
                </c:pt>
              </c:numCache>
            </c:numRef>
          </c:val>
          <c:smooth val="0"/>
          <c:extLst>
            <c:ext xmlns:c16="http://schemas.microsoft.com/office/drawing/2014/chart" uri="{C3380CC4-5D6E-409C-BE32-E72D297353CC}">
              <c16:uniqueId val="{00000000-2737-40A0-B336-111B7BEB30AC}"/>
            </c:ext>
          </c:extLst>
        </c:ser>
        <c:dLbls>
          <c:showLegendKey val="0"/>
          <c:showVal val="0"/>
          <c:showCatName val="0"/>
          <c:showSerName val="0"/>
          <c:showPercent val="0"/>
          <c:showBubbleSize val="0"/>
        </c:dLbls>
        <c:marker val="1"/>
        <c:smooth val="0"/>
        <c:axId val="2082188047"/>
        <c:axId val="2082188527"/>
      </c:lineChart>
      <c:catAx>
        <c:axId val="2082188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188527"/>
        <c:crosses val="autoZero"/>
        <c:auto val="1"/>
        <c:lblAlgn val="ctr"/>
        <c:lblOffset val="100"/>
        <c:noMultiLvlLbl val="0"/>
      </c:catAx>
      <c:valAx>
        <c:axId val="208218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18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243840</xdr:colOff>
      <xdr:row>11</xdr:row>
      <xdr:rowOff>49530</xdr:rowOff>
    </xdr:from>
    <xdr:to>
      <xdr:col>6</xdr:col>
      <xdr:colOff>129540</xdr:colOff>
      <xdr:row>26</xdr:row>
      <xdr:rowOff>49530</xdr:rowOff>
    </xdr:to>
    <xdr:graphicFrame macro="">
      <xdr:nvGraphicFramePr>
        <xdr:cNvPr id="2" name="Chart 1">
          <a:extLst>
            <a:ext uri="{FF2B5EF4-FFF2-40B4-BE49-F238E27FC236}">
              <a16:creationId xmlns:a16="http://schemas.microsoft.com/office/drawing/2014/main" id="{ADF207FC-3C31-6389-9450-F39E794AA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281940</xdr:colOff>
      <xdr:row>7</xdr:row>
      <xdr:rowOff>133350</xdr:rowOff>
    </xdr:from>
    <xdr:to>
      <xdr:col>11</xdr:col>
      <xdr:colOff>586740</xdr:colOff>
      <xdr:row>22</xdr:row>
      <xdr:rowOff>133350</xdr:rowOff>
    </xdr:to>
    <xdr:graphicFrame macro="">
      <xdr:nvGraphicFramePr>
        <xdr:cNvPr id="2" name="Chart 1">
          <a:extLst>
            <a:ext uri="{FF2B5EF4-FFF2-40B4-BE49-F238E27FC236}">
              <a16:creationId xmlns:a16="http://schemas.microsoft.com/office/drawing/2014/main" id="{EBC61D24-65B0-069B-82BF-EF5F1C02E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876300</xdr:colOff>
      <xdr:row>3</xdr:row>
      <xdr:rowOff>95250</xdr:rowOff>
    </xdr:from>
    <xdr:to>
      <xdr:col>9</xdr:col>
      <xdr:colOff>236220</xdr:colOff>
      <xdr:row>18</xdr:row>
      <xdr:rowOff>95250</xdr:rowOff>
    </xdr:to>
    <xdr:graphicFrame macro="">
      <xdr:nvGraphicFramePr>
        <xdr:cNvPr id="2" name="Chart 1">
          <a:extLst>
            <a:ext uri="{FF2B5EF4-FFF2-40B4-BE49-F238E27FC236}">
              <a16:creationId xmlns:a16="http://schemas.microsoft.com/office/drawing/2014/main" id="{0AAB9530-D956-5274-6E02-795B3FBC2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274320</xdr:colOff>
      <xdr:row>7</xdr:row>
      <xdr:rowOff>133350</xdr:rowOff>
    </xdr:from>
    <xdr:to>
      <xdr:col>10</xdr:col>
      <xdr:colOff>579120</xdr:colOff>
      <xdr:row>22</xdr:row>
      <xdr:rowOff>133350</xdr:rowOff>
    </xdr:to>
    <xdr:graphicFrame macro="">
      <xdr:nvGraphicFramePr>
        <xdr:cNvPr id="4" name="Chart 3">
          <a:extLst>
            <a:ext uri="{FF2B5EF4-FFF2-40B4-BE49-F238E27FC236}">
              <a16:creationId xmlns:a16="http://schemas.microsoft.com/office/drawing/2014/main" id="{B498B3FB-0DB6-FCFC-F753-1849F6B65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365760</xdr:colOff>
      <xdr:row>8</xdr:row>
      <xdr:rowOff>99061</xdr:rowOff>
    </xdr:from>
    <xdr:to>
      <xdr:col>10</xdr:col>
      <xdr:colOff>365760</xdr:colOff>
      <xdr:row>19</xdr:row>
      <xdr:rowOff>68581</xdr:rowOff>
    </xdr:to>
    <mc:AlternateContent xmlns:mc="http://schemas.openxmlformats.org/markup-compatibility/2006" xmlns:a14="http://schemas.microsoft.com/office/drawing/2010/main">
      <mc:Choice Requires="a14">
        <xdr:graphicFrame macro="">
          <xdr:nvGraphicFramePr>
            <xdr:cNvPr id="2" name="City/Region">
              <a:extLst>
                <a:ext uri="{FF2B5EF4-FFF2-40B4-BE49-F238E27FC236}">
                  <a16:creationId xmlns:a16="http://schemas.microsoft.com/office/drawing/2014/main" id="{5007BA98-0F65-84A0-46F4-0A57370A68B6}"/>
                </a:ext>
              </a:extLst>
            </xdr:cNvPr>
            <xdr:cNvGraphicFramePr/>
          </xdr:nvGraphicFramePr>
          <xdr:xfrm>
            <a:off x="0" y="0"/>
            <a:ext cx="0" cy="0"/>
          </xdr:xfrm>
          <a:graphic>
            <a:graphicData uri="http://schemas.microsoft.com/office/drawing/2010/slicer">
              <sle:slicer xmlns:sle="http://schemas.microsoft.com/office/drawing/2010/slicer" name="City/Region"/>
            </a:graphicData>
          </a:graphic>
        </xdr:graphicFrame>
      </mc:Choice>
      <mc:Fallback xmlns="">
        <xdr:sp macro="" textlink="">
          <xdr:nvSpPr>
            <xdr:cNvPr id="0" name=""/>
            <xdr:cNvSpPr>
              <a:spLocks noTextEdit="1"/>
            </xdr:cNvSpPr>
          </xdr:nvSpPr>
          <xdr:spPr>
            <a:xfrm>
              <a:off x="4632960" y="1562101"/>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365760</xdr:colOff>
      <xdr:row>8</xdr:row>
      <xdr:rowOff>99060</xdr:rowOff>
    </xdr:from>
    <xdr:to>
      <xdr:col>10</xdr:col>
      <xdr:colOff>365760</xdr:colOff>
      <xdr:row>22</xdr:row>
      <xdr:rowOff>5715</xdr:rowOff>
    </xdr:to>
    <mc:AlternateContent xmlns:mc="http://schemas.openxmlformats.org/markup-compatibility/2006" xmlns:a14="http://schemas.microsoft.com/office/drawing/2010/main">
      <mc:Choice Requires="a14">
        <xdr:graphicFrame macro="">
          <xdr:nvGraphicFramePr>
            <xdr:cNvPr id="2" name="Purchase Channel">
              <a:extLst>
                <a:ext uri="{FF2B5EF4-FFF2-40B4-BE49-F238E27FC236}">
                  <a16:creationId xmlns:a16="http://schemas.microsoft.com/office/drawing/2014/main" id="{B19F510E-9B45-ED37-421B-9D13A11F3E0B}"/>
                </a:ext>
              </a:extLst>
            </xdr:cNvPr>
            <xdr:cNvGraphicFramePr/>
          </xdr:nvGraphicFramePr>
          <xdr:xfrm>
            <a:off x="0" y="0"/>
            <a:ext cx="0" cy="0"/>
          </xdr:xfrm>
          <a:graphic>
            <a:graphicData uri="http://schemas.microsoft.com/office/drawing/2010/slicer">
              <sle:slicer xmlns:sle="http://schemas.microsoft.com/office/drawing/2010/slicer" name="Purchase Channel"/>
            </a:graphicData>
          </a:graphic>
        </xdr:graphicFrame>
      </mc:Choice>
      <mc:Fallback xmlns="">
        <xdr:sp macro="" textlink="">
          <xdr:nvSpPr>
            <xdr:cNvPr id="0" name=""/>
            <xdr:cNvSpPr>
              <a:spLocks noTextEdit="1"/>
            </xdr:cNvSpPr>
          </xdr:nvSpPr>
          <xdr:spPr>
            <a:xfrm>
              <a:off x="4632960" y="1562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365760</xdr:colOff>
      <xdr:row>8</xdr:row>
      <xdr:rowOff>99060</xdr:rowOff>
    </xdr:from>
    <xdr:to>
      <xdr:col>10</xdr:col>
      <xdr:colOff>365760</xdr:colOff>
      <xdr:row>22</xdr:row>
      <xdr:rowOff>5715</xdr:rowOff>
    </xdr:to>
    <mc:AlternateContent xmlns:mc="http://schemas.openxmlformats.org/markup-compatibility/2006" xmlns:a14="http://schemas.microsoft.com/office/drawing/2010/main">
      <mc:Choice Requires="a14">
        <xdr:graphicFrame macro="">
          <xdr:nvGraphicFramePr>
            <xdr:cNvPr id="2" name="Customer Segment">
              <a:extLst>
                <a:ext uri="{FF2B5EF4-FFF2-40B4-BE49-F238E27FC236}">
                  <a16:creationId xmlns:a16="http://schemas.microsoft.com/office/drawing/2014/main" id="{F6B5E557-B103-541B-4951-9021EBEDC41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4632960" y="1562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8</xdr:col>
      <xdr:colOff>176694</xdr:colOff>
      <xdr:row>2</xdr:row>
      <xdr:rowOff>99392</xdr:rowOff>
    </xdr:from>
    <xdr:to>
      <xdr:col>30</xdr:col>
      <xdr:colOff>77304</xdr:colOff>
      <xdr:row>45</xdr:row>
      <xdr:rowOff>110435</xdr:rowOff>
    </xdr:to>
    <xdr:sp macro="" textlink="">
      <xdr:nvSpPr>
        <xdr:cNvPr id="2" name="Rectangle 1">
          <a:extLst>
            <a:ext uri="{FF2B5EF4-FFF2-40B4-BE49-F238E27FC236}">
              <a16:creationId xmlns:a16="http://schemas.microsoft.com/office/drawing/2014/main" id="{8EE85BB8-EEBC-3B26-CD38-2963AFD37243}"/>
            </a:ext>
          </a:extLst>
        </xdr:cNvPr>
        <xdr:cNvSpPr/>
      </xdr:nvSpPr>
      <xdr:spPr>
        <a:xfrm>
          <a:off x="5035824" y="474870"/>
          <a:ext cx="13263219" cy="8083826"/>
        </a:xfrm>
        <a:prstGeom prst="rect">
          <a:avLst/>
        </a:prstGeom>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187739</xdr:colOff>
      <xdr:row>2</xdr:row>
      <xdr:rowOff>113858</xdr:rowOff>
    </xdr:from>
    <xdr:to>
      <xdr:col>30</xdr:col>
      <xdr:colOff>73130</xdr:colOff>
      <xdr:row>5</xdr:row>
      <xdr:rowOff>176696</xdr:rowOff>
    </xdr:to>
    <xdr:sp macro="" textlink="">
      <xdr:nvSpPr>
        <xdr:cNvPr id="3" name="Rectangle 2">
          <a:extLst>
            <a:ext uri="{FF2B5EF4-FFF2-40B4-BE49-F238E27FC236}">
              <a16:creationId xmlns:a16="http://schemas.microsoft.com/office/drawing/2014/main" id="{04EC0867-844E-B589-0116-CD000209CB4B}"/>
            </a:ext>
          </a:extLst>
        </xdr:cNvPr>
        <xdr:cNvSpPr/>
      </xdr:nvSpPr>
      <xdr:spPr>
        <a:xfrm>
          <a:off x="5046869" y="489336"/>
          <a:ext cx="13248000" cy="62605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1"/>
              </a:solidFill>
            </a:rPr>
            <a:t>          MARKET RESEARCH &amp;</a:t>
          </a:r>
          <a:r>
            <a:rPr lang="en-IN" sz="2800" b="1" baseline="0">
              <a:solidFill>
                <a:schemeClr val="bg1"/>
              </a:solidFill>
            </a:rPr>
            <a:t> CUSTOMER SEGMENTATION DASHBOARD</a:t>
          </a:r>
          <a:endParaRPr lang="en-IN" sz="2800" b="1">
            <a:solidFill>
              <a:schemeClr val="bg1"/>
            </a:solidFill>
          </a:endParaRPr>
        </a:p>
      </xdr:txBody>
    </xdr:sp>
    <xdr:clientData/>
  </xdr:twoCellAnchor>
  <xdr:twoCellAnchor>
    <xdr:from>
      <xdr:col>8</xdr:col>
      <xdr:colOff>220870</xdr:colOff>
      <xdr:row>6</xdr:row>
      <xdr:rowOff>121477</xdr:rowOff>
    </xdr:from>
    <xdr:to>
      <xdr:col>12</xdr:col>
      <xdr:colOff>298173</xdr:colOff>
      <xdr:row>12</xdr:row>
      <xdr:rowOff>55217</xdr:rowOff>
    </xdr:to>
    <xdr:sp macro="" textlink="">
      <xdr:nvSpPr>
        <xdr:cNvPr id="4" name="Rectangle: Rounded Corners 3">
          <a:extLst>
            <a:ext uri="{FF2B5EF4-FFF2-40B4-BE49-F238E27FC236}">
              <a16:creationId xmlns:a16="http://schemas.microsoft.com/office/drawing/2014/main" id="{582B26ED-7E0D-945E-CAC7-B0411F3F3D6F}"/>
            </a:ext>
          </a:extLst>
        </xdr:cNvPr>
        <xdr:cNvSpPr/>
      </xdr:nvSpPr>
      <xdr:spPr>
        <a:xfrm>
          <a:off x="5080000" y="1247912"/>
          <a:ext cx="2506869" cy="1060175"/>
        </a:xfrm>
        <a:prstGeom prst="roundRect">
          <a:avLst>
            <a:gd name="adj" fmla="val 1544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    Total</a:t>
          </a:r>
          <a:r>
            <a:rPr lang="en-IN" sz="1800" b="1" baseline="0">
              <a:solidFill>
                <a:schemeClr val="tx1"/>
              </a:solidFill>
            </a:rPr>
            <a:t> Customers</a:t>
          </a:r>
          <a:endParaRPr lang="en-IN" sz="1800" b="1">
            <a:solidFill>
              <a:schemeClr val="tx1"/>
            </a:solidFill>
          </a:endParaRPr>
        </a:p>
      </xdr:txBody>
    </xdr:sp>
    <xdr:clientData/>
  </xdr:twoCellAnchor>
  <xdr:twoCellAnchor>
    <xdr:from>
      <xdr:col>13</xdr:col>
      <xdr:colOff>106484</xdr:colOff>
      <xdr:row>6</xdr:row>
      <xdr:rowOff>88348</xdr:rowOff>
    </xdr:from>
    <xdr:to>
      <xdr:col>17</xdr:col>
      <xdr:colOff>99390</xdr:colOff>
      <xdr:row>12</xdr:row>
      <xdr:rowOff>22086</xdr:rowOff>
    </xdr:to>
    <xdr:sp macro="" textlink="">
      <xdr:nvSpPr>
        <xdr:cNvPr id="5" name="Rectangle: Rounded Corners 4">
          <a:extLst>
            <a:ext uri="{FF2B5EF4-FFF2-40B4-BE49-F238E27FC236}">
              <a16:creationId xmlns:a16="http://schemas.microsoft.com/office/drawing/2014/main" id="{B5E99D2E-7327-4466-B250-3826A583BDA6}"/>
            </a:ext>
          </a:extLst>
        </xdr:cNvPr>
        <xdr:cNvSpPr/>
      </xdr:nvSpPr>
      <xdr:spPr>
        <a:xfrm>
          <a:off x="8002571" y="1214783"/>
          <a:ext cx="2422471" cy="1060173"/>
        </a:xfrm>
        <a:prstGeom prst="roundRect">
          <a:avLst>
            <a:gd name="adj" fmla="val 154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      Total Revenue</a:t>
          </a:r>
        </a:p>
      </xdr:txBody>
    </xdr:sp>
    <xdr:clientData/>
  </xdr:twoCellAnchor>
  <xdr:twoCellAnchor>
    <xdr:from>
      <xdr:col>17</xdr:col>
      <xdr:colOff>557057</xdr:colOff>
      <xdr:row>6</xdr:row>
      <xdr:rowOff>79000</xdr:rowOff>
    </xdr:from>
    <xdr:to>
      <xdr:col>21</xdr:col>
      <xdr:colOff>596347</xdr:colOff>
      <xdr:row>12</xdr:row>
      <xdr:rowOff>11043</xdr:rowOff>
    </xdr:to>
    <xdr:sp macro="" textlink="">
      <xdr:nvSpPr>
        <xdr:cNvPr id="6" name="Rectangle: Rounded Corners 5">
          <a:extLst>
            <a:ext uri="{FF2B5EF4-FFF2-40B4-BE49-F238E27FC236}">
              <a16:creationId xmlns:a16="http://schemas.microsoft.com/office/drawing/2014/main" id="{0B8F04CD-D80D-498A-B1B4-5304DAD165AA}"/>
            </a:ext>
          </a:extLst>
        </xdr:cNvPr>
        <xdr:cNvSpPr/>
      </xdr:nvSpPr>
      <xdr:spPr>
        <a:xfrm>
          <a:off x="10882709" y="1205435"/>
          <a:ext cx="2468855" cy="1058478"/>
        </a:xfrm>
        <a:prstGeom prst="roundRect">
          <a:avLst>
            <a:gd name="adj" fmla="val 1544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   Avg</a:t>
          </a:r>
          <a:r>
            <a:rPr lang="en-IN" sz="1800" b="1" baseline="0">
              <a:solidFill>
                <a:schemeClr val="tx1"/>
              </a:solidFill>
            </a:rPr>
            <a:t> Order Value</a:t>
          </a:r>
          <a:endParaRPr lang="en-IN" sz="1800" b="1">
            <a:solidFill>
              <a:schemeClr val="tx1"/>
            </a:solidFill>
          </a:endParaRPr>
        </a:p>
      </xdr:txBody>
    </xdr:sp>
    <xdr:clientData/>
  </xdr:twoCellAnchor>
  <xdr:twoCellAnchor>
    <xdr:from>
      <xdr:col>22</xdr:col>
      <xdr:colOff>477544</xdr:colOff>
      <xdr:row>6</xdr:row>
      <xdr:rowOff>65748</xdr:rowOff>
    </xdr:from>
    <xdr:to>
      <xdr:col>27</xdr:col>
      <xdr:colOff>298174</xdr:colOff>
      <xdr:row>12</xdr:row>
      <xdr:rowOff>22086</xdr:rowOff>
    </xdr:to>
    <xdr:sp macro="" textlink="">
      <xdr:nvSpPr>
        <xdr:cNvPr id="7" name="Rectangle: Rounded Corners 6">
          <a:extLst>
            <a:ext uri="{FF2B5EF4-FFF2-40B4-BE49-F238E27FC236}">
              <a16:creationId xmlns:a16="http://schemas.microsoft.com/office/drawing/2014/main" id="{71E63F33-AE81-4656-9930-9065CA7F9DF4}"/>
            </a:ext>
          </a:extLst>
        </xdr:cNvPr>
        <xdr:cNvSpPr/>
      </xdr:nvSpPr>
      <xdr:spPr>
        <a:xfrm>
          <a:off x="13840153" y="1192183"/>
          <a:ext cx="2857586" cy="1082773"/>
        </a:xfrm>
        <a:prstGeom prst="roundRect">
          <a:avLst>
            <a:gd name="adj" fmla="val 1544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solidFill>
                <a:schemeClr val="tx1"/>
              </a:solidFill>
            </a:rPr>
            <a:t>Avg Purchace Frequency</a:t>
          </a:r>
          <a:endParaRPr lang="en-IN" sz="1800" b="1">
            <a:solidFill>
              <a:schemeClr val="tx1"/>
            </a:solidFill>
          </a:endParaRPr>
        </a:p>
      </xdr:txBody>
    </xdr:sp>
    <xdr:clientData/>
  </xdr:twoCellAnchor>
  <xdr:twoCellAnchor>
    <xdr:from>
      <xdr:col>10</xdr:col>
      <xdr:colOff>28712</xdr:colOff>
      <xdr:row>8</xdr:row>
      <xdr:rowOff>83930</xdr:rowOff>
    </xdr:from>
    <xdr:to>
      <xdr:col>11</xdr:col>
      <xdr:colOff>335721</xdr:colOff>
      <xdr:row>13</xdr:row>
      <xdr:rowOff>59634</xdr:rowOff>
    </xdr:to>
    <xdr:sp macro="" textlink="">
      <xdr:nvSpPr>
        <xdr:cNvPr id="12" name="TextBox 11">
          <a:extLst>
            <a:ext uri="{FF2B5EF4-FFF2-40B4-BE49-F238E27FC236}">
              <a16:creationId xmlns:a16="http://schemas.microsoft.com/office/drawing/2014/main" id="{2400FFCD-4217-4668-E414-2CAE28A68764}"/>
            </a:ext>
          </a:extLst>
        </xdr:cNvPr>
        <xdr:cNvSpPr txBox="1"/>
      </xdr:nvSpPr>
      <xdr:spPr>
        <a:xfrm>
          <a:off x="6102625" y="1585843"/>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100</a:t>
          </a:r>
        </a:p>
      </xdr:txBody>
    </xdr:sp>
    <xdr:clientData/>
  </xdr:twoCellAnchor>
  <xdr:twoCellAnchor>
    <xdr:from>
      <xdr:col>13</xdr:col>
      <xdr:colOff>393147</xdr:colOff>
      <xdr:row>8</xdr:row>
      <xdr:rowOff>117061</xdr:rowOff>
    </xdr:from>
    <xdr:to>
      <xdr:col>16</xdr:col>
      <xdr:colOff>154608</xdr:colOff>
      <xdr:row>11</xdr:row>
      <xdr:rowOff>132523</xdr:rowOff>
    </xdr:to>
    <xdr:sp macro="" textlink="">
      <xdr:nvSpPr>
        <xdr:cNvPr id="13" name="TextBox 12">
          <a:extLst>
            <a:ext uri="{FF2B5EF4-FFF2-40B4-BE49-F238E27FC236}">
              <a16:creationId xmlns:a16="http://schemas.microsoft.com/office/drawing/2014/main" id="{7CE5C9BA-E6CA-D332-DF78-ED1F1EF6CCBE}"/>
            </a:ext>
          </a:extLst>
        </xdr:cNvPr>
        <xdr:cNvSpPr txBox="1"/>
      </xdr:nvSpPr>
      <xdr:spPr>
        <a:xfrm>
          <a:off x="8289234" y="1618974"/>
          <a:ext cx="1583635" cy="578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$ 999222</a:t>
          </a:r>
        </a:p>
      </xdr:txBody>
    </xdr:sp>
    <xdr:clientData/>
  </xdr:twoCellAnchor>
  <xdr:twoCellAnchor>
    <xdr:from>
      <xdr:col>18</xdr:col>
      <xdr:colOff>61843</xdr:colOff>
      <xdr:row>8</xdr:row>
      <xdr:rowOff>33129</xdr:rowOff>
    </xdr:from>
    <xdr:to>
      <xdr:col>21</xdr:col>
      <xdr:colOff>44174</xdr:colOff>
      <xdr:row>11</xdr:row>
      <xdr:rowOff>154609</xdr:rowOff>
    </xdr:to>
    <xdr:sp macro="" textlink="">
      <xdr:nvSpPr>
        <xdr:cNvPr id="14" name="TextBox 13">
          <a:extLst>
            <a:ext uri="{FF2B5EF4-FFF2-40B4-BE49-F238E27FC236}">
              <a16:creationId xmlns:a16="http://schemas.microsoft.com/office/drawing/2014/main" id="{860C265F-A013-5DCB-0C4C-58E1CF6FD3FF}"/>
            </a:ext>
          </a:extLst>
        </xdr:cNvPr>
        <xdr:cNvSpPr txBox="1"/>
      </xdr:nvSpPr>
      <xdr:spPr>
        <a:xfrm>
          <a:off x="10994886" y="1535042"/>
          <a:ext cx="1804505" cy="68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 $ 2323.2</a:t>
          </a:r>
        </a:p>
      </xdr:txBody>
    </xdr:sp>
    <xdr:clientData/>
  </xdr:twoCellAnchor>
  <xdr:twoCellAnchor>
    <xdr:from>
      <xdr:col>24</xdr:col>
      <xdr:colOff>28713</xdr:colOff>
      <xdr:row>8</xdr:row>
      <xdr:rowOff>28713</xdr:rowOff>
    </xdr:from>
    <xdr:to>
      <xdr:col>25</xdr:col>
      <xdr:colOff>335721</xdr:colOff>
      <xdr:row>13</xdr:row>
      <xdr:rowOff>4417</xdr:rowOff>
    </xdr:to>
    <xdr:sp macro="" textlink="">
      <xdr:nvSpPr>
        <xdr:cNvPr id="15" name="TextBox 14">
          <a:extLst>
            <a:ext uri="{FF2B5EF4-FFF2-40B4-BE49-F238E27FC236}">
              <a16:creationId xmlns:a16="http://schemas.microsoft.com/office/drawing/2014/main" id="{B95EE7AE-533B-5925-07FE-77114FD3180F}"/>
            </a:ext>
          </a:extLst>
        </xdr:cNvPr>
        <xdr:cNvSpPr txBox="1"/>
      </xdr:nvSpPr>
      <xdr:spPr>
        <a:xfrm>
          <a:off x="14606104" y="1530626"/>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4.17</a:t>
          </a:r>
        </a:p>
      </xdr:txBody>
    </xdr:sp>
    <xdr:clientData/>
  </xdr:twoCellAnchor>
  <xdr:twoCellAnchor>
    <xdr:from>
      <xdr:col>8</xdr:col>
      <xdr:colOff>320260</xdr:colOff>
      <xdr:row>14</xdr:row>
      <xdr:rowOff>1</xdr:rowOff>
    </xdr:from>
    <xdr:to>
      <xdr:col>15</xdr:col>
      <xdr:colOff>364434</xdr:colOff>
      <xdr:row>28</xdr:row>
      <xdr:rowOff>33131</xdr:rowOff>
    </xdr:to>
    <xdr:graphicFrame macro="">
      <xdr:nvGraphicFramePr>
        <xdr:cNvPr id="8" name="Chart 7">
          <a:extLst>
            <a:ext uri="{FF2B5EF4-FFF2-40B4-BE49-F238E27FC236}">
              <a16:creationId xmlns:a16="http://schemas.microsoft.com/office/drawing/2014/main" id="{1C0318A2-ED63-4F9F-89DF-7D99FC0CF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585302</xdr:colOff>
      <xdr:row>13</xdr:row>
      <xdr:rowOff>143565</xdr:rowOff>
    </xdr:from>
    <xdr:to>
      <xdr:col>24</xdr:col>
      <xdr:colOff>320261</xdr:colOff>
      <xdr:row>27</xdr:row>
      <xdr:rowOff>33130</xdr:rowOff>
    </xdr:to>
    <xdr:graphicFrame macro="">
      <xdr:nvGraphicFramePr>
        <xdr:cNvPr id="10" name="Chart 9">
          <a:extLst>
            <a:ext uri="{FF2B5EF4-FFF2-40B4-BE49-F238E27FC236}">
              <a16:creationId xmlns:a16="http://schemas.microsoft.com/office/drawing/2014/main" id="{36ECB5FD-79C1-40FC-9ABA-33B797B74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231911</xdr:colOff>
      <xdr:row>28</xdr:row>
      <xdr:rowOff>132521</xdr:rowOff>
    </xdr:from>
    <xdr:to>
      <xdr:col>16</xdr:col>
      <xdr:colOff>585304</xdr:colOff>
      <xdr:row>43</xdr:row>
      <xdr:rowOff>66260</xdr:rowOff>
    </xdr:to>
    <xdr:graphicFrame macro="">
      <xdr:nvGraphicFramePr>
        <xdr:cNvPr id="11" name="Chart 10">
          <a:extLst>
            <a:ext uri="{FF2B5EF4-FFF2-40B4-BE49-F238E27FC236}">
              <a16:creationId xmlns:a16="http://schemas.microsoft.com/office/drawing/2014/main" id="{ACFB9AFC-A103-4A38-9330-B72A34792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88346</xdr:colOff>
      <xdr:row>28</xdr:row>
      <xdr:rowOff>99391</xdr:rowOff>
    </xdr:from>
    <xdr:to>
      <xdr:col>24</xdr:col>
      <xdr:colOff>408607</xdr:colOff>
      <xdr:row>43</xdr:row>
      <xdr:rowOff>26504</xdr:rowOff>
    </xdr:to>
    <xdr:graphicFrame macro="">
      <xdr:nvGraphicFramePr>
        <xdr:cNvPr id="16" name="Chart 15">
          <a:extLst>
            <a:ext uri="{FF2B5EF4-FFF2-40B4-BE49-F238E27FC236}">
              <a16:creationId xmlns:a16="http://schemas.microsoft.com/office/drawing/2014/main" id="{3113017A-9A46-475C-A0B8-B7343F837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110435</xdr:colOff>
      <xdr:row>14</xdr:row>
      <xdr:rowOff>66259</xdr:rowOff>
    </xdr:from>
    <xdr:to>
      <xdr:col>29</xdr:col>
      <xdr:colOff>360016</xdr:colOff>
      <xdr:row>24</xdr:row>
      <xdr:rowOff>176695</xdr:rowOff>
    </xdr:to>
    <mc:AlternateContent xmlns:mc="http://schemas.openxmlformats.org/markup-compatibility/2006" xmlns:a14="http://schemas.microsoft.com/office/drawing/2010/main">
      <mc:Choice Requires="a14">
        <xdr:graphicFrame macro="">
          <xdr:nvGraphicFramePr>
            <xdr:cNvPr id="17" name="City/Region 1">
              <a:extLst>
                <a:ext uri="{FF2B5EF4-FFF2-40B4-BE49-F238E27FC236}">
                  <a16:creationId xmlns:a16="http://schemas.microsoft.com/office/drawing/2014/main" id="{717E1E59-6676-460D-901E-E0D105C10B93}"/>
                </a:ext>
              </a:extLst>
            </xdr:cNvPr>
            <xdr:cNvGraphicFramePr/>
          </xdr:nvGraphicFramePr>
          <xdr:xfrm>
            <a:off x="0" y="0"/>
            <a:ext cx="0" cy="0"/>
          </xdr:xfrm>
          <a:graphic>
            <a:graphicData uri="http://schemas.microsoft.com/office/drawing/2010/slicer">
              <sle:slicer xmlns:sle="http://schemas.microsoft.com/office/drawing/2010/slicer" name="City/Region 1"/>
            </a:graphicData>
          </a:graphic>
        </xdr:graphicFrame>
      </mc:Choice>
      <mc:Fallback xmlns="">
        <xdr:sp macro="" textlink="">
          <xdr:nvSpPr>
            <xdr:cNvPr id="0" name=""/>
            <xdr:cNvSpPr>
              <a:spLocks noTextEdit="1"/>
            </xdr:cNvSpPr>
          </xdr:nvSpPr>
          <xdr:spPr>
            <a:xfrm>
              <a:off x="15295218" y="2694607"/>
              <a:ext cx="2679146" cy="1987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220867</xdr:colOff>
      <xdr:row>37</xdr:row>
      <xdr:rowOff>143565</xdr:rowOff>
    </xdr:from>
    <xdr:to>
      <xdr:col>29</xdr:col>
      <xdr:colOff>386521</xdr:colOff>
      <xdr:row>42</xdr:row>
      <xdr:rowOff>165653</xdr:rowOff>
    </xdr:to>
    <mc:AlternateContent xmlns:mc="http://schemas.openxmlformats.org/markup-compatibility/2006" xmlns:a14="http://schemas.microsoft.com/office/drawing/2010/main">
      <mc:Choice Requires="a14">
        <xdr:graphicFrame macro="">
          <xdr:nvGraphicFramePr>
            <xdr:cNvPr id="18" name="Purchase Channel 1">
              <a:extLst>
                <a:ext uri="{FF2B5EF4-FFF2-40B4-BE49-F238E27FC236}">
                  <a16:creationId xmlns:a16="http://schemas.microsoft.com/office/drawing/2014/main" id="{FF5AE1F9-BAC9-4F6F-BFE4-92E440E27D13}"/>
                </a:ext>
              </a:extLst>
            </xdr:cNvPr>
            <xdr:cNvGraphicFramePr/>
          </xdr:nvGraphicFramePr>
          <xdr:xfrm>
            <a:off x="0" y="0"/>
            <a:ext cx="0" cy="0"/>
          </xdr:xfrm>
          <a:graphic>
            <a:graphicData uri="http://schemas.microsoft.com/office/drawing/2010/slicer">
              <sle:slicer xmlns:sle="http://schemas.microsoft.com/office/drawing/2010/slicer" name="Purchase Channel 1"/>
            </a:graphicData>
          </a:graphic>
        </xdr:graphicFrame>
      </mc:Choice>
      <mc:Fallback xmlns="">
        <xdr:sp macro="" textlink="">
          <xdr:nvSpPr>
            <xdr:cNvPr id="0" name=""/>
            <xdr:cNvSpPr>
              <a:spLocks noTextEdit="1"/>
            </xdr:cNvSpPr>
          </xdr:nvSpPr>
          <xdr:spPr>
            <a:xfrm>
              <a:off x="15405650" y="7089913"/>
              <a:ext cx="2595219" cy="960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220866</xdr:colOff>
      <xdr:row>26</xdr:row>
      <xdr:rowOff>0</xdr:rowOff>
    </xdr:from>
    <xdr:to>
      <xdr:col>29</xdr:col>
      <xdr:colOff>408609</xdr:colOff>
      <xdr:row>35</xdr:row>
      <xdr:rowOff>110435</xdr:rowOff>
    </xdr:to>
    <mc:AlternateContent xmlns:mc="http://schemas.openxmlformats.org/markup-compatibility/2006" xmlns:a14="http://schemas.microsoft.com/office/drawing/2010/main">
      <mc:Choice Requires="a14">
        <xdr:graphicFrame macro="">
          <xdr:nvGraphicFramePr>
            <xdr:cNvPr id="19" name="Customer Segment 1">
              <a:extLst>
                <a:ext uri="{FF2B5EF4-FFF2-40B4-BE49-F238E27FC236}">
                  <a16:creationId xmlns:a16="http://schemas.microsoft.com/office/drawing/2014/main" id="{D76C9AB5-0098-4A3B-BA13-6CF4449128F0}"/>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5405649" y="4881217"/>
              <a:ext cx="2617308" cy="1800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 refreshedDate="46125.931660185182" createdVersion="8" refreshedVersion="8" minRefreshableVersion="3" recordCount="100" xr:uid="{EF3CAC82-D887-4CC3-B7A4-D2576FCBDE2F}">
  <cacheSource type="worksheet">
    <worksheetSource ref="A1:P101" sheet="Cleaned Data"/>
  </cacheSource>
  <cacheFields count="16">
    <cacheField name="Customer 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 numFmtId="0">
      <sharedItems containsSemiMixedTypes="0" containsString="0" containsNumber="1" containsInteger="1" minValue="21" maxValue="55"/>
    </cacheField>
    <cacheField name="Gender" numFmtId="0">
      <sharedItems count="2">
        <s v="Male"/>
        <s v="Female"/>
      </sharedItems>
    </cacheField>
    <cacheField name="City/Region" numFmtId="0">
      <sharedItems count="6">
        <s v="Bangalore"/>
        <s v="Pune"/>
        <s v="Chennai"/>
        <s v="Delhi"/>
        <s v="Hyderabad"/>
        <s v="Mumbai"/>
      </sharedItems>
    </cacheField>
    <cacheField name="Income Level" numFmtId="0">
      <sharedItems containsSemiMixedTypes="0" containsString="0" containsNumber="1" containsInteger="1" minValue="30772" maxValue="149619"/>
    </cacheField>
    <cacheField name="Occupation" numFmtId="0">
      <sharedItems/>
    </cacheField>
    <cacheField name="Purchase Frequency" numFmtId="0">
      <sharedItems containsSemiMixedTypes="0" containsString="0" containsNumber="1" containsInteger="1" minValue="1" maxValue="8"/>
    </cacheField>
    <cacheField name="Average Order Value" numFmtId="0">
      <sharedItems containsSemiMixedTypes="0" containsString="0" containsNumber="1" containsInteger="1" minValue="557" maxValue="3982"/>
    </cacheField>
    <cacheField name="Total Spending" numFmtId="0">
      <sharedItems containsSemiMixedTypes="0" containsString="0" containsNumber="1" containsInteger="1" minValue="883" maxValue="30456"/>
    </cacheField>
    <cacheField name="Preferred Product Category" numFmtId="0">
      <sharedItems count="5">
        <s v="Home Decor"/>
        <s v="Grocery"/>
        <s v="Electronics"/>
        <s v="Fashion"/>
        <s v="Beauty"/>
      </sharedItems>
    </cacheField>
    <cacheField name="Purchase Channel" numFmtId="0">
      <sharedItems count="2">
        <s v="Online"/>
        <s v="Offline"/>
      </sharedItems>
    </cacheField>
    <cacheField name="Customer Type" numFmtId="0">
      <sharedItems count="2">
        <s v="Returning"/>
        <s v="New"/>
      </sharedItems>
    </cacheField>
    <cacheField name="Engagement Level" numFmtId="0">
      <sharedItems count="3">
        <s v="High"/>
        <s v="Low"/>
        <s v="Medium"/>
      </sharedItems>
    </cacheField>
    <cacheField name="Discount Sensitivity" numFmtId="0">
      <sharedItems count="3">
        <s v="Medium"/>
        <s v="Low"/>
        <s v="High"/>
      </sharedItems>
    </cacheField>
    <cacheField name="Last Purchase Date" numFmtId="0">
      <sharedItems count="56">
        <s v="08-Apr-26"/>
        <s v="14-Feb-26"/>
        <s v="23-Feb-26"/>
        <s v="01-Feb-26"/>
        <s v="14-Mar-26"/>
        <s v="03-Feb-26"/>
        <s v="20-Feb-26"/>
        <s v="26-Mar-26"/>
        <s v="01-Apr-26"/>
        <s v="13-Feb-26"/>
        <s v="24-Feb-26"/>
        <s v="13-Mar-26"/>
        <s v="04-Feb-26"/>
        <s v="28-Mar-26"/>
        <s v="04-Apr-26"/>
        <s v="12-Mar-26"/>
        <s v="06-Apr-26"/>
        <s v="17-Feb-26"/>
        <s v="05-Apr-26"/>
        <s v="16-Jan-26"/>
        <s v="17-Mar-26"/>
        <s v="03-Apr-26"/>
        <s v="24-Jan-26"/>
        <s v="07-Mar-26"/>
        <s v="07-Apr-26"/>
        <s v="21-Mar-26"/>
        <s v="11-Feb-26"/>
        <s v="08-Mar-26"/>
        <s v="10-Mar-26"/>
        <s v="29-Jan-26"/>
        <s v="13-Jan-26"/>
        <s v="18-Jan-26"/>
        <s v="09-Apr-26"/>
        <s v="08-Feb-26"/>
        <s v="31-Jan-26"/>
        <s v="27-Mar-26"/>
        <s v="10-Apr-26"/>
        <s v="04-Mar-26"/>
        <s v="11-Apr-26"/>
        <s v="05-Feb-26"/>
        <s v="26-Feb-26"/>
        <s v="10-Feb-26"/>
        <s v="29-Mar-26"/>
        <s v="16-Feb-26"/>
        <s v="19-Feb-26"/>
        <s v="15-Feb-26"/>
        <s v="15-Mar-26"/>
        <s v="18-Feb-26"/>
        <s v="22-Jan-26"/>
        <s v="31-Mar-26"/>
        <s v="28-Jan-26"/>
        <s v="30-Mar-26"/>
        <s v="30-Jan-26"/>
        <s v="06-Mar-26"/>
        <s v="11-Mar-26"/>
        <s v="21-Feb-26"/>
      </sharedItems>
    </cacheField>
    <cacheField name="Customer Segment" numFmtId="0">
      <sharedItems count="4">
        <s v="Regular"/>
        <s v="High Value"/>
        <s v="Discount Seekers"/>
        <s v="Loyal"/>
      </sharedItems>
    </cacheField>
  </cacheFields>
  <extLst>
    <ext xmlns:x14="http://schemas.microsoft.com/office/spreadsheetml/2009/9/main" uri="{725AE2AE-9491-48be-B2B4-4EB974FC3084}">
      <x14:pivotCacheDefinition pivotCacheId="2002762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36"/>
    <x v="0"/>
    <x v="0"/>
    <n v="126530"/>
    <s v="Student"/>
    <n v="2"/>
    <n v="602"/>
    <n v="1204"/>
    <x v="0"/>
    <x v="0"/>
    <x v="0"/>
    <x v="0"/>
    <x v="0"/>
    <x v="0"/>
    <x v="0"/>
  </r>
  <r>
    <x v="1"/>
    <n v="53"/>
    <x v="0"/>
    <x v="1"/>
    <n v="56062"/>
    <s v="Analyst"/>
    <n v="1"/>
    <n v="883"/>
    <n v="883"/>
    <x v="0"/>
    <x v="1"/>
    <x v="1"/>
    <x v="1"/>
    <x v="1"/>
    <x v="1"/>
    <x v="0"/>
  </r>
  <r>
    <x v="2"/>
    <n v="48"/>
    <x v="1"/>
    <x v="2"/>
    <n v="50379"/>
    <s v="IT Employee"/>
    <n v="5"/>
    <n v="3815"/>
    <n v="19075"/>
    <x v="1"/>
    <x v="0"/>
    <x v="1"/>
    <x v="1"/>
    <x v="1"/>
    <x v="2"/>
    <x v="1"/>
  </r>
  <r>
    <x v="3"/>
    <n v="37"/>
    <x v="0"/>
    <x v="3"/>
    <n v="90217"/>
    <s v="Entrepreneur"/>
    <n v="2"/>
    <n v="1970"/>
    <n v="3940"/>
    <x v="2"/>
    <x v="1"/>
    <x v="1"/>
    <x v="2"/>
    <x v="2"/>
    <x v="3"/>
    <x v="2"/>
  </r>
  <r>
    <x v="4"/>
    <n v="44"/>
    <x v="0"/>
    <x v="3"/>
    <n v="39116"/>
    <s v="Student"/>
    <n v="5"/>
    <n v="3897"/>
    <n v="19485"/>
    <x v="3"/>
    <x v="1"/>
    <x v="1"/>
    <x v="0"/>
    <x v="2"/>
    <x v="4"/>
    <x v="1"/>
  </r>
  <r>
    <x v="5"/>
    <n v="44"/>
    <x v="0"/>
    <x v="2"/>
    <n v="76566"/>
    <s v="IT Employee"/>
    <n v="2"/>
    <n v="2056"/>
    <n v="4112"/>
    <x v="1"/>
    <x v="0"/>
    <x v="1"/>
    <x v="2"/>
    <x v="0"/>
    <x v="5"/>
    <x v="0"/>
  </r>
  <r>
    <x v="6"/>
    <n v="38"/>
    <x v="0"/>
    <x v="3"/>
    <n v="72504"/>
    <s v="Student"/>
    <n v="4"/>
    <n v="1169"/>
    <n v="4676"/>
    <x v="3"/>
    <x v="0"/>
    <x v="0"/>
    <x v="2"/>
    <x v="0"/>
    <x v="6"/>
    <x v="0"/>
  </r>
  <r>
    <x v="7"/>
    <n v="41"/>
    <x v="0"/>
    <x v="3"/>
    <n v="95435"/>
    <s v="Teacher"/>
    <n v="5"/>
    <n v="771"/>
    <n v="3855"/>
    <x v="4"/>
    <x v="0"/>
    <x v="0"/>
    <x v="1"/>
    <x v="2"/>
    <x v="7"/>
    <x v="2"/>
  </r>
  <r>
    <x v="8"/>
    <n v="37"/>
    <x v="1"/>
    <x v="1"/>
    <n v="82350"/>
    <s v="Manager"/>
    <n v="4"/>
    <n v="3551"/>
    <n v="14204"/>
    <x v="3"/>
    <x v="0"/>
    <x v="0"/>
    <x v="0"/>
    <x v="2"/>
    <x v="8"/>
    <x v="3"/>
  </r>
  <r>
    <x v="9"/>
    <n v="31"/>
    <x v="1"/>
    <x v="1"/>
    <n v="38326"/>
    <s v="Teacher"/>
    <n v="1"/>
    <n v="949"/>
    <n v="949"/>
    <x v="4"/>
    <x v="1"/>
    <x v="0"/>
    <x v="1"/>
    <x v="2"/>
    <x v="3"/>
    <x v="2"/>
  </r>
  <r>
    <x v="10"/>
    <n v="55"/>
    <x v="1"/>
    <x v="3"/>
    <n v="74587"/>
    <s v="Student"/>
    <n v="1"/>
    <n v="3286"/>
    <n v="3286"/>
    <x v="1"/>
    <x v="1"/>
    <x v="1"/>
    <x v="0"/>
    <x v="1"/>
    <x v="9"/>
    <x v="0"/>
  </r>
  <r>
    <x v="11"/>
    <n v="53"/>
    <x v="0"/>
    <x v="1"/>
    <n v="149619"/>
    <s v="Student"/>
    <n v="1"/>
    <n v="3457"/>
    <n v="3457"/>
    <x v="1"/>
    <x v="0"/>
    <x v="1"/>
    <x v="0"/>
    <x v="0"/>
    <x v="10"/>
    <x v="0"/>
  </r>
  <r>
    <x v="12"/>
    <n v="41"/>
    <x v="1"/>
    <x v="4"/>
    <n v="44662"/>
    <s v="Manager"/>
    <n v="3"/>
    <n v="2709"/>
    <n v="8127"/>
    <x v="1"/>
    <x v="0"/>
    <x v="1"/>
    <x v="0"/>
    <x v="1"/>
    <x v="11"/>
    <x v="0"/>
  </r>
  <r>
    <x v="13"/>
    <n v="25"/>
    <x v="0"/>
    <x v="0"/>
    <n v="116474"/>
    <s v="Teacher"/>
    <n v="2"/>
    <n v="850"/>
    <n v="1700"/>
    <x v="0"/>
    <x v="0"/>
    <x v="0"/>
    <x v="0"/>
    <x v="0"/>
    <x v="12"/>
    <x v="0"/>
  </r>
  <r>
    <x v="14"/>
    <n v="33"/>
    <x v="1"/>
    <x v="5"/>
    <n v="118039"/>
    <s v="Analyst"/>
    <n v="7"/>
    <n v="1367"/>
    <n v="9569"/>
    <x v="1"/>
    <x v="1"/>
    <x v="0"/>
    <x v="0"/>
    <x v="2"/>
    <x v="13"/>
    <x v="3"/>
  </r>
  <r>
    <x v="15"/>
    <n v="22"/>
    <x v="0"/>
    <x v="1"/>
    <n v="58864"/>
    <s v="Student"/>
    <n v="4"/>
    <n v="1420"/>
    <n v="5680"/>
    <x v="2"/>
    <x v="0"/>
    <x v="1"/>
    <x v="1"/>
    <x v="0"/>
    <x v="14"/>
    <x v="0"/>
  </r>
  <r>
    <x v="16"/>
    <n v="36"/>
    <x v="1"/>
    <x v="3"/>
    <n v="93624"/>
    <s v="IT Employee"/>
    <n v="1"/>
    <n v="1853"/>
    <n v="1853"/>
    <x v="0"/>
    <x v="0"/>
    <x v="0"/>
    <x v="1"/>
    <x v="2"/>
    <x v="15"/>
    <x v="2"/>
  </r>
  <r>
    <x v="17"/>
    <n v="27"/>
    <x v="0"/>
    <x v="3"/>
    <n v="86498"/>
    <s v="Manager"/>
    <n v="8"/>
    <n v="3807"/>
    <n v="30456"/>
    <x v="4"/>
    <x v="1"/>
    <x v="0"/>
    <x v="2"/>
    <x v="1"/>
    <x v="16"/>
    <x v="1"/>
  </r>
  <r>
    <x v="18"/>
    <n v="42"/>
    <x v="0"/>
    <x v="0"/>
    <n v="55112"/>
    <s v="IT Employee"/>
    <n v="2"/>
    <n v="748"/>
    <n v="1496"/>
    <x v="0"/>
    <x v="1"/>
    <x v="1"/>
    <x v="2"/>
    <x v="2"/>
    <x v="17"/>
    <x v="2"/>
  </r>
  <r>
    <x v="19"/>
    <n v="25"/>
    <x v="1"/>
    <x v="1"/>
    <n v="42833"/>
    <s v="Student"/>
    <n v="3"/>
    <n v="1640"/>
    <n v="4920"/>
    <x v="0"/>
    <x v="0"/>
    <x v="1"/>
    <x v="2"/>
    <x v="1"/>
    <x v="11"/>
    <x v="0"/>
  </r>
  <r>
    <x v="20"/>
    <n v="34"/>
    <x v="1"/>
    <x v="4"/>
    <n v="51579"/>
    <s v="Teacher"/>
    <n v="3"/>
    <n v="2164"/>
    <n v="6492"/>
    <x v="2"/>
    <x v="1"/>
    <x v="0"/>
    <x v="2"/>
    <x v="0"/>
    <x v="9"/>
    <x v="0"/>
  </r>
  <r>
    <x v="21"/>
    <n v="52"/>
    <x v="0"/>
    <x v="0"/>
    <n v="68890"/>
    <s v="IT Employee"/>
    <n v="5"/>
    <n v="2232"/>
    <n v="11160"/>
    <x v="2"/>
    <x v="0"/>
    <x v="0"/>
    <x v="0"/>
    <x v="2"/>
    <x v="18"/>
    <x v="3"/>
  </r>
  <r>
    <x v="22"/>
    <n v="54"/>
    <x v="0"/>
    <x v="4"/>
    <n v="96562"/>
    <s v="Student"/>
    <n v="1"/>
    <n v="2892"/>
    <n v="2892"/>
    <x v="3"/>
    <x v="0"/>
    <x v="1"/>
    <x v="2"/>
    <x v="2"/>
    <x v="19"/>
    <x v="2"/>
  </r>
  <r>
    <x v="23"/>
    <n v="36"/>
    <x v="0"/>
    <x v="1"/>
    <n v="40745"/>
    <s v="Teacher"/>
    <n v="4"/>
    <n v="2153"/>
    <n v="8612"/>
    <x v="0"/>
    <x v="1"/>
    <x v="0"/>
    <x v="1"/>
    <x v="2"/>
    <x v="20"/>
    <x v="2"/>
  </r>
  <r>
    <x v="24"/>
    <n v="29"/>
    <x v="1"/>
    <x v="5"/>
    <n v="71441"/>
    <s v="Student"/>
    <n v="6"/>
    <n v="1477"/>
    <n v="8862"/>
    <x v="2"/>
    <x v="1"/>
    <x v="1"/>
    <x v="2"/>
    <x v="0"/>
    <x v="21"/>
    <x v="0"/>
  </r>
  <r>
    <x v="25"/>
    <n v="43"/>
    <x v="0"/>
    <x v="0"/>
    <n v="78434"/>
    <s v="Manager"/>
    <n v="4"/>
    <n v="2572"/>
    <n v="10288"/>
    <x v="3"/>
    <x v="1"/>
    <x v="0"/>
    <x v="2"/>
    <x v="1"/>
    <x v="22"/>
    <x v="0"/>
  </r>
  <r>
    <x v="26"/>
    <n v="27"/>
    <x v="0"/>
    <x v="2"/>
    <n v="45129"/>
    <s v="Student"/>
    <n v="1"/>
    <n v="3235"/>
    <n v="3235"/>
    <x v="0"/>
    <x v="0"/>
    <x v="0"/>
    <x v="0"/>
    <x v="0"/>
    <x v="23"/>
    <x v="0"/>
  </r>
  <r>
    <x v="27"/>
    <n v="37"/>
    <x v="1"/>
    <x v="2"/>
    <n v="148664"/>
    <s v="Student"/>
    <n v="4"/>
    <n v="3439"/>
    <n v="13756"/>
    <x v="2"/>
    <x v="1"/>
    <x v="0"/>
    <x v="2"/>
    <x v="1"/>
    <x v="24"/>
    <x v="0"/>
  </r>
  <r>
    <x v="28"/>
    <n v="37"/>
    <x v="0"/>
    <x v="3"/>
    <n v="87912"/>
    <s v="Entrepreneur"/>
    <n v="1"/>
    <n v="1866"/>
    <n v="1866"/>
    <x v="4"/>
    <x v="0"/>
    <x v="1"/>
    <x v="1"/>
    <x v="2"/>
    <x v="21"/>
    <x v="2"/>
  </r>
  <r>
    <x v="29"/>
    <n v="30"/>
    <x v="1"/>
    <x v="0"/>
    <n v="35482"/>
    <s v="Manager"/>
    <n v="3"/>
    <n v="2734"/>
    <n v="8202"/>
    <x v="1"/>
    <x v="0"/>
    <x v="0"/>
    <x v="1"/>
    <x v="0"/>
    <x v="20"/>
    <x v="0"/>
  </r>
  <r>
    <x v="30"/>
    <n v="47"/>
    <x v="0"/>
    <x v="0"/>
    <n v="143325"/>
    <s v="IT Employee"/>
    <n v="4"/>
    <n v="3231"/>
    <n v="12924"/>
    <x v="3"/>
    <x v="1"/>
    <x v="1"/>
    <x v="1"/>
    <x v="0"/>
    <x v="25"/>
    <x v="0"/>
  </r>
  <r>
    <x v="31"/>
    <n v="36"/>
    <x v="1"/>
    <x v="0"/>
    <n v="133202"/>
    <s v="Analyst"/>
    <n v="6"/>
    <n v="3704"/>
    <n v="22224"/>
    <x v="2"/>
    <x v="1"/>
    <x v="1"/>
    <x v="2"/>
    <x v="2"/>
    <x v="26"/>
    <x v="1"/>
  </r>
  <r>
    <x v="32"/>
    <n v="40"/>
    <x v="0"/>
    <x v="0"/>
    <n v="33101"/>
    <s v="Analyst"/>
    <n v="4"/>
    <n v="1317"/>
    <n v="5268"/>
    <x v="3"/>
    <x v="1"/>
    <x v="0"/>
    <x v="2"/>
    <x v="0"/>
    <x v="27"/>
    <x v="0"/>
  </r>
  <r>
    <x v="33"/>
    <n v="53"/>
    <x v="1"/>
    <x v="3"/>
    <n v="140580"/>
    <s v="Entrepreneur"/>
    <n v="2"/>
    <n v="3667"/>
    <n v="7334"/>
    <x v="1"/>
    <x v="0"/>
    <x v="1"/>
    <x v="2"/>
    <x v="0"/>
    <x v="28"/>
    <x v="0"/>
  </r>
  <r>
    <x v="34"/>
    <n v="27"/>
    <x v="1"/>
    <x v="2"/>
    <n v="125491"/>
    <s v="Manager"/>
    <n v="3"/>
    <n v="2878"/>
    <n v="8634"/>
    <x v="4"/>
    <x v="0"/>
    <x v="0"/>
    <x v="2"/>
    <x v="1"/>
    <x v="29"/>
    <x v="0"/>
  </r>
  <r>
    <x v="35"/>
    <n v="48"/>
    <x v="0"/>
    <x v="1"/>
    <n v="135710"/>
    <s v="Entrepreneur"/>
    <n v="4"/>
    <n v="1543"/>
    <n v="6172"/>
    <x v="3"/>
    <x v="1"/>
    <x v="0"/>
    <x v="1"/>
    <x v="2"/>
    <x v="14"/>
    <x v="2"/>
  </r>
  <r>
    <x v="36"/>
    <n v="28"/>
    <x v="1"/>
    <x v="1"/>
    <n v="70538"/>
    <s v="Analyst"/>
    <n v="6"/>
    <n v="3052"/>
    <n v="18312"/>
    <x v="4"/>
    <x v="1"/>
    <x v="0"/>
    <x v="2"/>
    <x v="2"/>
    <x v="30"/>
    <x v="1"/>
  </r>
  <r>
    <x v="37"/>
    <n v="47"/>
    <x v="1"/>
    <x v="3"/>
    <n v="128059"/>
    <s v="IT Employee"/>
    <n v="5"/>
    <n v="2770"/>
    <n v="13850"/>
    <x v="0"/>
    <x v="1"/>
    <x v="0"/>
    <x v="1"/>
    <x v="1"/>
    <x v="3"/>
    <x v="0"/>
  </r>
  <r>
    <x v="38"/>
    <n v="48"/>
    <x v="1"/>
    <x v="5"/>
    <n v="87905"/>
    <s v="Teacher"/>
    <n v="1"/>
    <n v="1744"/>
    <n v="1744"/>
    <x v="3"/>
    <x v="1"/>
    <x v="1"/>
    <x v="2"/>
    <x v="1"/>
    <x v="31"/>
    <x v="0"/>
  </r>
  <r>
    <x v="39"/>
    <n v="42"/>
    <x v="0"/>
    <x v="0"/>
    <n v="118184"/>
    <s v="Manager"/>
    <n v="2"/>
    <n v="1662"/>
    <n v="3324"/>
    <x v="3"/>
    <x v="0"/>
    <x v="1"/>
    <x v="0"/>
    <x v="2"/>
    <x v="32"/>
    <x v="2"/>
  </r>
  <r>
    <x v="40"/>
    <n v="25"/>
    <x v="1"/>
    <x v="5"/>
    <n v="146147"/>
    <s v="Analyst"/>
    <n v="1"/>
    <n v="1502"/>
    <n v="1502"/>
    <x v="0"/>
    <x v="0"/>
    <x v="0"/>
    <x v="2"/>
    <x v="2"/>
    <x v="33"/>
    <x v="2"/>
  </r>
  <r>
    <x v="41"/>
    <n v="21"/>
    <x v="0"/>
    <x v="5"/>
    <n v="58683"/>
    <s v="IT Employee"/>
    <n v="7"/>
    <n v="1499"/>
    <n v="10493"/>
    <x v="0"/>
    <x v="1"/>
    <x v="1"/>
    <x v="1"/>
    <x v="2"/>
    <x v="34"/>
    <x v="2"/>
  </r>
  <r>
    <x v="42"/>
    <n v="29"/>
    <x v="1"/>
    <x v="3"/>
    <n v="99616"/>
    <s v="Entrepreneur"/>
    <n v="4"/>
    <n v="3974"/>
    <n v="15896"/>
    <x v="0"/>
    <x v="1"/>
    <x v="0"/>
    <x v="1"/>
    <x v="0"/>
    <x v="22"/>
    <x v="1"/>
  </r>
  <r>
    <x v="43"/>
    <n v="31"/>
    <x v="1"/>
    <x v="5"/>
    <n v="63972"/>
    <s v="IT Employee"/>
    <n v="7"/>
    <n v="3902"/>
    <n v="27314"/>
    <x v="1"/>
    <x v="1"/>
    <x v="1"/>
    <x v="0"/>
    <x v="0"/>
    <x v="27"/>
    <x v="1"/>
  </r>
  <r>
    <x v="44"/>
    <n v="36"/>
    <x v="1"/>
    <x v="2"/>
    <n v="71904"/>
    <s v="Entrepreneur"/>
    <n v="8"/>
    <n v="817"/>
    <n v="6536"/>
    <x v="2"/>
    <x v="0"/>
    <x v="1"/>
    <x v="0"/>
    <x v="0"/>
    <x v="4"/>
    <x v="3"/>
  </r>
  <r>
    <x v="45"/>
    <n v="34"/>
    <x v="0"/>
    <x v="5"/>
    <n v="83424"/>
    <s v="Manager"/>
    <n v="7"/>
    <n v="3342"/>
    <n v="23394"/>
    <x v="0"/>
    <x v="1"/>
    <x v="0"/>
    <x v="1"/>
    <x v="2"/>
    <x v="18"/>
    <x v="1"/>
  </r>
  <r>
    <x v="46"/>
    <n v="22"/>
    <x v="1"/>
    <x v="5"/>
    <n v="30772"/>
    <s v="Manager"/>
    <n v="4"/>
    <n v="3911"/>
    <n v="15644"/>
    <x v="1"/>
    <x v="1"/>
    <x v="0"/>
    <x v="2"/>
    <x v="0"/>
    <x v="5"/>
    <x v="1"/>
  </r>
  <r>
    <x v="47"/>
    <n v="48"/>
    <x v="1"/>
    <x v="4"/>
    <n v="80968"/>
    <s v="Manager"/>
    <n v="4"/>
    <n v="2499"/>
    <n v="9996"/>
    <x v="4"/>
    <x v="0"/>
    <x v="0"/>
    <x v="1"/>
    <x v="0"/>
    <x v="35"/>
    <x v="0"/>
  </r>
  <r>
    <x v="48"/>
    <n v="22"/>
    <x v="0"/>
    <x v="3"/>
    <n v="86179"/>
    <s v="IT Employee"/>
    <n v="1"/>
    <n v="2113"/>
    <n v="2113"/>
    <x v="4"/>
    <x v="0"/>
    <x v="1"/>
    <x v="0"/>
    <x v="2"/>
    <x v="28"/>
    <x v="2"/>
  </r>
  <r>
    <x v="49"/>
    <n v="41"/>
    <x v="1"/>
    <x v="5"/>
    <n v="66471"/>
    <s v="Teacher"/>
    <n v="7"/>
    <n v="1840"/>
    <n v="12880"/>
    <x v="1"/>
    <x v="0"/>
    <x v="0"/>
    <x v="1"/>
    <x v="0"/>
    <x v="36"/>
    <x v="0"/>
  </r>
  <r>
    <x v="50"/>
    <n v="25"/>
    <x v="0"/>
    <x v="4"/>
    <n v="62411"/>
    <s v="IT Employee"/>
    <n v="1"/>
    <n v="1933"/>
    <n v="1933"/>
    <x v="2"/>
    <x v="0"/>
    <x v="1"/>
    <x v="1"/>
    <x v="2"/>
    <x v="35"/>
    <x v="2"/>
  </r>
  <r>
    <x v="51"/>
    <n v="34"/>
    <x v="1"/>
    <x v="3"/>
    <n v="63586"/>
    <s v="Manager"/>
    <n v="8"/>
    <n v="3242"/>
    <n v="25936"/>
    <x v="3"/>
    <x v="0"/>
    <x v="1"/>
    <x v="1"/>
    <x v="2"/>
    <x v="37"/>
    <x v="1"/>
  </r>
  <r>
    <x v="52"/>
    <n v="45"/>
    <x v="1"/>
    <x v="3"/>
    <n v="55995"/>
    <s v="Student"/>
    <n v="2"/>
    <n v="2870"/>
    <n v="5740"/>
    <x v="0"/>
    <x v="0"/>
    <x v="1"/>
    <x v="1"/>
    <x v="0"/>
    <x v="30"/>
    <x v="0"/>
  </r>
  <r>
    <x v="53"/>
    <n v="28"/>
    <x v="0"/>
    <x v="2"/>
    <n v="99827"/>
    <s v="Teacher"/>
    <n v="5"/>
    <n v="3982"/>
    <n v="19910"/>
    <x v="1"/>
    <x v="0"/>
    <x v="0"/>
    <x v="0"/>
    <x v="2"/>
    <x v="38"/>
    <x v="1"/>
  </r>
  <r>
    <x v="54"/>
    <n v="48"/>
    <x v="1"/>
    <x v="3"/>
    <n v="146860"/>
    <s v="Teacher"/>
    <n v="7"/>
    <n v="3868"/>
    <n v="27076"/>
    <x v="3"/>
    <x v="1"/>
    <x v="1"/>
    <x v="2"/>
    <x v="1"/>
    <x v="39"/>
    <x v="1"/>
  </r>
  <r>
    <x v="55"/>
    <n v="50"/>
    <x v="1"/>
    <x v="3"/>
    <n v="107656"/>
    <s v="Manager"/>
    <n v="5"/>
    <n v="3022"/>
    <n v="15110"/>
    <x v="1"/>
    <x v="0"/>
    <x v="1"/>
    <x v="0"/>
    <x v="0"/>
    <x v="27"/>
    <x v="1"/>
  </r>
  <r>
    <x v="56"/>
    <n v="45"/>
    <x v="1"/>
    <x v="4"/>
    <n v="94789"/>
    <s v="Manager"/>
    <n v="8"/>
    <n v="1498"/>
    <n v="11984"/>
    <x v="3"/>
    <x v="1"/>
    <x v="1"/>
    <x v="2"/>
    <x v="2"/>
    <x v="40"/>
    <x v="2"/>
  </r>
  <r>
    <x v="57"/>
    <n v="38"/>
    <x v="0"/>
    <x v="1"/>
    <n v="55042"/>
    <s v="Student"/>
    <n v="5"/>
    <n v="1894"/>
    <n v="9470"/>
    <x v="3"/>
    <x v="1"/>
    <x v="0"/>
    <x v="2"/>
    <x v="2"/>
    <x v="34"/>
    <x v="2"/>
  </r>
  <r>
    <x v="58"/>
    <n v="52"/>
    <x v="1"/>
    <x v="4"/>
    <n v="42196"/>
    <s v="Manager"/>
    <n v="4"/>
    <n v="3328"/>
    <n v="13312"/>
    <x v="3"/>
    <x v="1"/>
    <x v="1"/>
    <x v="2"/>
    <x v="2"/>
    <x v="37"/>
    <x v="2"/>
  </r>
  <r>
    <x v="59"/>
    <n v="43"/>
    <x v="1"/>
    <x v="3"/>
    <n v="102140"/>
    <s v="Manager"/>
    <n v="6"/>
    <n v="2438"/>
    <n v="14628"/>
    <x v="1"/>
    <x v="1"/>
    <x v="0"/>
    <x v="0"/>
    <x v="2"/>
    <x v="37"/>
    <x v="3"/>
  </r>
  <r>
    <x v="60"/>
    <n v="33"/>
    <x v="1"/>
    <x v="4"/>
    <n v="127370"/>
    <s v="Entrepreneur"/>
    <n v="5"/>
    <n v="1444"/>
    <n v="7220"/>
    <x v="3"/>
    <x v="0"/>
    <x v="1"/>
    <x v="1"/>
    <x v="2"/>
    <x v="41"/>
    <x v="2"/>
  </r>
  <r>
    <x v="61"/>
    <n v="39"/>
    <x v="0"/>
    <x v="0"/>
    <n v="68829"/>
    <s v="IT Employee"/>
    <n v="5"/>
    <n v="3467"/>
    <n v="17335"/>
    <x v="1"/>
    <x v="0"/>
    <x v="0"/>
    <x v="0"/>
    <x v="2"/>
    <x v="38"/>
    <x v="1"/>
  </r>
  <r>
    <x v="62"/>
    <n v="39"/>
    <x v="0"/>
    <x v="3"/>
    <n v="143830"/>
    <s v="Teacher"/>
    <n v="3"/>
    <n v="1623"/>
    <n v="4869"/>
    <x v="2"/>
    <x v="0"/>
    <x v="0"/>
    <x v="1"/>
    <x v="1"/>
    <x v="26"/>
    <x v="0"/>
  </r>
  <r>
    <x v="63"/>
    <n v="24"/>
    <x v="1"/>
    <x v="5"/>
    <n v="44953"/>
    <s v="Student"/>
    <n v="8"/>
    <n v="2304"/>
    <n v="18432"/>
    <x v="4"/>
    <x v="1"/>
    <x v="1"/>
    <x v="2"/>
    <x v="1"/>
    <x v="29"/>
    <x v="1"/>
  </r>
  <r>
    <x v="64"/>
    <n v="40"/>
    <x v="0"/>
    <x v="0"/>
    <n v="45525"/>
    <s v="Entrepreneur"/>
    <n v="1"/>
    <n v="1121"/>
    <n v="1121"/>
    <x v="4"/>
    <x v="0"/>
    <x v="0"/>
    <x v="1"/>
    <x v="2"/>
    <x v="1"/>
    <x v="2"/>
  </r>
  <r>
    <x v="65"/>
    <n v="40"/>
    <x v="0"/>
    <x v="1"/>
    <n v="127004"/>
    <s v="Student"/>
    <n v="8"/>
    <n v="1717"/>
    <n v="13736"/>
    <x v="3"/>
    <x v="0"/>
    <x v="0"/>
    <x v="0"/>
    <x v="0"/>
    <x v="31"/>
    <x v="3"/>
  </r>
  <r>
    <x v="66"/>
    <n v="25"/>
    <x v="0"/>
    <x v="4"/>
    <n v="83545"/>
    <s v="Teacher"/>
    <n v="2"/>
    <n v="1143"/>
    <n v="2286"/>
    <x v="0"/>
    <x v="1"/>
    <x v="0"/>
    <x v="1"/>
    <x v="1"/>
    <x v="0"/>
    <x v="0"/>
  </r>
  <r>
    <x v="67"/>
    <n v="50"/>
    <x v="0"/>
    <x v="3"/>
    <n v="60595"/>
    <s v="Manager"/>
    <n v="4"/>
    <n v="1680"/>
    <n v="6720"/>
    <x v="0"/>
    <x v="0"/>
    <x v="0"/>
    <x v="0"/>
    <x v="0"/>
    <x v="42"/>
    <x v="3"/>
  </r>
  <r>
    <x v="68"/>
    <n v="30"/>
    <x v="0"/>
    <x v="4"/>
    <n v="51747"/>
    <s v="Manager"/>
    <n v="4"/>
    <n v="3152"/>
    <n v="12608"/>
    <x v="0"/>
    <x v="1"/>
    <x v="0"/>
    <x v="1"/>
    <x v="0"/>
    <x v="13"/>
    <x v="0"/>
  </r>
  <r>
    <x v="69"/>
    <n v="46"/>
    <x v="1"/>
    <x v="1"/>
    <n v="100776"/>
    <s v="Teacher"/>
    <n v="8"/>
    <n v="3320"/>
    <n v="26560"/>
    <x v="4"/>
    <x v="0"/>
    <x v="1"/>
    <x v="2"/>
    <x v="2"/>
    <x v="43"/>
    <x v="1"/>
  </r>
  <r>
    <x v="70"/>
    <n v="26"/>
    <x v="0"/>
    <x v="3"/>
    <n v="139570"/>
    <s v="Entrepreneur"/>
    <n v="6"/>
    <n v="2972"/>
    <n v="17832"/>
    <x v="0"/>
    <x v="0"/>
    <x v="0"/>
    <x v="2"/>
    <x v="1"/>
    <x v="29"/>
    <x v="1"/>
  </r>
  <r>
    <x v="71"/>
    <n v="54"/>
    <x v="1"/>
    <x v="2"/>
    <n v="53788"/>
    <s v="Entrepreneur"/>
    <n v="1"/>
    <n v="3625"/>
    <n v="3625"/>
    <x v="4"/>
    <x v="1"/>
    <x v="1"/>
    <x v="1"/>
    <x v="0"/>
    <x v="26"/>
    <x v="0"/>
  </r>
  <r>
    <x v="72"/>
    <n v="27"/>
    <x v="0"/>
    <x v="2"/>
    <n v="83955"/>
    <s v="Analyst"/>
    <n v="6"/>
    <n v="2172"/>
    <n v="13032"/>
    <x v="4"/>
    <x v="1"/>
    <x v="0"/>
    <x v="2"/>
    <x v="0"/>
    <x v="3"/>
    <x v="0"/>
  </r>
  <r>
    <x v="73"/>
    <n v="37"/>
    <x v="1"/>
    <x v="4"/>
    <n v="131259"/>
    <s v="Teacher"/>
    <n v="1"/>
    <n v="2362"/>
    <n v="2362"/>
    <x v="0"/>
    <x v="0"/>
    <x v="0"/>
    <x v="1"/>
    <x v="0"/>
    <x v="44"/>
    <x v="0"/>
  </r>
  <r>
    <x v="74"/>
    <n v="52"/>
    <x v="1"/>
    <x v="4"/>
    <n v="56680"/>
    <s v="Manager"/>
    <n v="1"/>
    <n v="1268"/>
    <n v="1268"/>
    <x v="0"/>
    <x v="0"/>
    <x v="0"/>
    <x v="0"/>
    <x v="0"/>
    <x v="45"/>
    <x v="0"/>
  </r>
  <r>
    <x v="75"/>
    <n v="36"/>
    <x v="0"/>
    <x v="2"/>
    <n v="102199"/>
    <s v="Student"/>
    <n v="8"/>
    <n v="997"/>
    <n v="7976"/>
    <x v="0"/>
    <x v="1"/>
    <x v="1"/>
    <x v="1"/>
    <x v="2"/>
    <x v="46"/>
    <x v="2"/>
  </r>
  <r>
    <x v="76"/>
    <n v="30"/>
    <x v="1"/>
    <x v="3"/>
    <n v="68254"/>
    <s v="Entrepreneur"/>
    <n v="2"/>
    <n v="2390"/>
    <n v="4780"/>
    <x v="1"/>
    <x v="1"/>
    <x v="0"/>
    <x v="1"/>
    <x v="2"/>
    <x v="26"/>
    <x v="2"/>
  </r>
  <r>
    <x v="77"/>
    <n v="45"/>
    <x v="0"/>
    <x v="1"/>
    <n v="96616"/>
    <s v="Analyst"/>
    <n v="4"/>
    <n v="2370"/>
    <n v="9480"/>
    <x v="3"/>
    <x v="0"/>
    <x v="0"/>
    <x v="0"/>
    <x v="1"/>
    <x v="47"/>
    <x v="3"/>
  </r>
  <r>
    <x v="78"/>
    <n v="21"/>
    <x v="1"/>
    <x v="3"/>
    <n v="69132"/>
    <s v="Entrepreneur"/>
    <n v="6"/>
    <n v="3726"/>
    <n v="22356"/>
    <x v="0"/>
    <x v="1"/>
    <x v="1"/>
    <x v="0"/>
    <x v="0"/>
    <x v="1"/>
    <x v="1"/>
  </r>
  <r>
    <x v="79"/>
    <n v="55"/>
    <x v="1"/>
    <x v="5"/>
    <n v="72176"/>
    <s v="IT Employee"/>
    <n v="8"/>
    <n v="1913"/>
    <n v="15304"/>
    <x v="3"/>
    <x v="1"/>
    <x v="1"/>
    <x v="2"/>
    <x v="2"/>
    <x v="44"/>
    <x v="1"/>
  </r>
  <r>
    <x v="80"/>
    <n v="45"/>
    <x v="1"/>
    <x v="3"/>
    <n v="133860"/>
    <s v="Analyst"/>
    <n v="1"/>
    <n v="1803"/>
    <n v="1803"/>
    <x v="3"/>
    <x v="1"/>
    <x v="1"/>
    <x v="0"/>
    <x v="0"/>
    <x v="35"/>
    <x v="0"/>
  </r>
  <r>
    <x v="81"/>
    <n v="54"/>
    <x v="1"/>
    <x v="4"/>
    <n v="124692"/>
    <s v="IT Employee"/>
    <n v="6"/>
    <n v="911"/>
    <n v="5466"/>
    <x v="4"/>
    <x v="0"/>
    <x v="1"/>
    <x v="2"/>
    <x v="1"/>
    <x v="26"/>
    <x v="0"/>
  </r>
  <r>
    <x v="82"/>
    <n v="46"/>
    <x v="0"/>
    <x v="2"/>
    <n v="141718"/>
    <s v="Analyst"/>
    <n v="5"/>
    <n v="1886"/>
    <n v="9430"/>
    <x v="0"/>
    <x v="1"/>
    <x v="0"/>
    <x v="0"/>
    <x v="2"/>
    <x v="48"/>
    <x v="3"/>
  </r>
  <r>
    <x v="83"/>
    <n v="25"/>
    <x v="0"/>
    <x v="3"/>
    <n v="119705"/>
    <s v="Manager"/>
    <n v="8"/>
    <n v="2716"/>
    <n v="21728"/>
    <x v="3"/>
    <x v="0"/>
    <x v="0"/>
    <x v="1"/>
    <x v="2"/>
    <x v="49"/>
    <x v="1"/>
  </r>
  <r>
    <x v="84"/>
    <n v="40"/>
    <x v="0"/>
    <x v="4"/>
    <n v="72516"/>
    <s v="Student"/>
    <n v="2"/>
    <n v="2317"/>
    <n v="4634"/>
    <x v="1"/>
    <x v="1"/>
    <x v="0"/>
    <x v="1"/>
    <x v="2"/>
    <x v="43"/>
    <x v="2"/>
  </r>
  <r>
    <x v="85"/>
    <n v="32"/>
    <x v="0"/>
    <x v="0"/>
    <n v="40350"/>
    <s v="Entrepreneur"/>
    <n v="3"/>
    <n v="1500"/>
    <n v="4500"/>
    <x v="4"/>
    <x v="0"/>
    <x v="0"/>
    <x v="0"/>
    <x v="0"/>
    <x v="50"/>
    <x v="0"/>
  </r>
  <r>
    <x v="86"/>
    <n v="37"/>
    <x v="1"/>
    <x v="2"/>
    <n v="117404"/>
    <s v="Student"/>
    <n v="3"/>
    <n v="1451"/>
    <n v="4353"/>
    <x v="4"/>
    <x v="1"/>
    <x v="1"/>
    <x v="2"/>
    <x v="2"/>
    <x v="21"/>
    <x v="2"/>
  </r>
  <r>
    <x v="87"/>
    <n v="48"/>
    <x v="1"/>
    <x v="5"/>
    <n v="140795"/>
    <s v="Manager"/>
    <n v="8"/>
    <n v="1915"/>
    <n v="15320"/>
    <x v="3"/>
    <x v="1"/>
    <x v="0"/>
    <x v="0"/>
    <x v="0"/>
    <x v="51"/>
    <x v="1"/>
  </r>
  <r>
    <x v="88"/>
    <n v="39"/>
    <x v="1"/>
    <x v="4"/>
    <n v="138794"/>
    <s v="Analyst"/>
    <n v="4"/>
    <n v="2062"/>
    <n v="8248"/>
    <x v="4"/>
    <x v="1"/>
    <x v="1"/>
    <x v="0"/>
    <x v="0"/>
    <x v="52"/>
    <x v="3"/>
  </r>
  <r>
    <x v="89"/>
    <n v="39"/>
    <x v="0"/>
    <x v="1"/>
    <n v="135110"/>
    <s v="Manager"/>
    <n v="1"/>
    <n v="2983"/>
    <n v="2983"/>
    <x v="3"/>
    <x v="0"/>
    <x v="0"/>
    <x v="0"/>
    <x v="0"/>
    <x v="19"/>
    <x v="0"/>
  </r>
  <r>
    <x v="90"/>
    <n v="23"/>
    <x v="1"/>
    <x v="5"/>
    <n v="34373"/>
    <s v="Entrepreneur"/>
    <n v="3"/>
    <n v="3073"/>
    <n v="9219"/>
    <x v="1"/>
    <x v="0"/>
    <x v="1"/>
    <x v="1"/>
    <x v="2"/>
    <x v="53"/>
    <x v="2"/>
  </r>
  <r>
    <x v="91"/>
    <n v="33"/>
    <x v="0"/>
    <x v="1"/>
    <n v="144879"/>
    <s v="Manager"/>
    <n v="6"/>
    <n v="3561"/>
    <n v="21366"/>
    <x v="0"/>
    <x v="1"/>
    <x v="1"/>
    <x v="2"/>
    <x v="1"/>
    <x v="54"/>
    <x v="1"/>
  </r>
  <r>
    <x v="92"/>
    <n v="42"/>
    <x v="0"/>
    <x v="5"/>
    <n v="39869"/>
    <s v="IT Employee"/>
    <n v="8"/>
    <n v="3803"/>
    <n v="30424"/>
    <x v="3"/>
    <x v="1"/>
    <x v="0"/>
    <x v="2"/>
    <x v="2"/>
    <x v="8"/>
    <x v="1"/>
  </r>
  <r>
    <x v="93"/>
    <n v="28"/>
    <x v="1"/>
    <x v="2"/>
    <n v="118188"/>
    <s v="Analyst"/>
    <n v="7"/>
    <n v="557"/>
    <n v="3899"/>
    <x v="1"/>
    <x v="1"/>
    <x v="0"/>
    <x v="2"/>
    <x v="2"/>
    <x v="51"/>
    <x v="2"/>
  </r>
  <r>
    <x v="94"/>
    <n v="41"/>
    <x v="0"/>
    <x v="3"/>
    <n v="38285"/>
    <s v="Analyst"/>
    <n v="4"/>
    <n v="2431"/>
    <n v="9724"/>
    <x v="4"/>
    <x v="1"/>
    <x v="0"/>
    <x v="1"/>
    <x v="2"/>
    <x v="42"/>
    <x v="2"/>
  </r>
  <r>
    <x v="95"/>
    <n v="52"/>
    <x v="0"/>
    <x v="4"/>
    <n v="60775"/>
    <s v="Entrepreneur"/>
    <n v="3"/>
    <n v="685"/>
    <n v="2055"/>
    <x v="3"/>
    <x v="1"/>
    <x v="0"/>
    <x v="1"/>
    <x v="0"/>
    <x v="10"/>
    <x v="0"/>
  </r>
  <r>
    <x v="96"/>
    <n v="30"/>
    <x v="1"/>
    <x v="3"/>
    <n v="42978"/>
    <s v="Teacher"/>
    <n v="7"/>
    <n v="2905"/>
    <n v="20335"/>
    <x v="0"/>
    <x v="1"/>
    <x v="0"/>
    <x v="0"/>
    <x v="2"/>
    <x v="0"/>
    <x v="1"/>
  </r>
  <r>
    <x v="97"/>
    <n v="36"/>
    <x v="1"/>
    <x v="4"/>
    <n v="119873"/>
    <s v="Manager"/>
    <n v="6"/>
    <n v="1389"/>
    <n v="8334"/>
    <x v="0"/>
    <x v="1"/>
    <x v="1"/>
    <x v="2"/>
    <x v="0"/>
    <x v="55"/>
    <x v="0"/>
  </r>
  <r>
    <x v="98"/>
    <n v="26"/>
    <x v="0"/>
    <x v="3"/>
    <n v="113819"/>
    <s v="Entrepreneur"/>
    <n v="5"/>
    <n v="1277"/>
    <n v="6385"/>
    <x v="2"/>
    <x v="0"/>
    <x v="0"/>
    <x v="1"/>
    <x v="0"/>
    <x v="15"/>
    <x v="0"/>
  </r>
  <r>
    <x v="99"/>
    <n v="25"/>
    <x v="0"/>
    <x v="1"/>
    <n v="58305"/>
    <s v="IT Employee"/>
    <n v="3"/>
    <n v="3723"/>
    <n v="11169"/>
    <x v="1"/>
    <x v="0"/>
    <x v="1"/>
    <x v="0"/>
    <x v="1"/>
    <x v="2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A24B34-0F6D-46C1-B05D-2359EDD83F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6">
    <pivotField showAll="0"/>
    <pivotField showAll="0"/>
    <pivotField showAll="0"/>
    <pivotField axis="axisRow" showAll="0">
      <items count="7">
        <item x="0"/>
        <item x="2"/>
        <item x="3"/>
        <item x="4"/>
        <item x="5"/>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Total Spending"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587B68-2F91-4A5B-A0BC-8985325222B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9" firstHeaderRow="0" firstDataRow="1" firstDataCol="1"/>
  <pivotFields count="16">
    <pivotField showAll="0"/>
    <pivotField showAll="0"/>
    <pivotField showAll="0"/>
    <pivotField showAll="0"/>
    <pivotField showAll="0"/>
    <pivotField showAll="0"/>
    <pivotField showAll="0"/>
    <pivotField showAll="0"/>
    <pivotField dataField="1" showAll="0"/>
    <pivotField axis="axisRow" showAll="0">
      <items count="6">
        <item x="4"/>
        <item x="2"/>
        <item x="3"/>
        <item x="1"/>
        <item x="0"/>
        <item t="default"/>
      </items>
    </pivotField>
    <pivotField showAll="0">
      <items count="3">
        <item x="1"/>
        <item x="0"/>
        <item t="default"/>
      </items>
    </pivotField>
    <pivotField showAll="0">
      <items count="3">
        <item x="1"/>
        <item x="0"/>
        <item t="default"/>
      </items>
    </pivotField>
    <pivotField showAll="0"/>
    <pivotField showAll="0"/>
    <pivotField showAll="0"/>
    <pivotField dataField="1" showAll="0">
      <items count="5">
        <item x="2"/>
        <item x="1"/>
        <item x="3"/>
        <item x="0"/>
        <item t="default"/>
      </items>
    </pivotField>
  </pivotFields>
  <rowFields count="1">
    <field x="9"/>
  </rowFields>
  <rowItems count="6">
    <i>
      <x/>
    </i>
    <i>
      <x v="1"/>
    </i>
    <i>
      <x v="2"/>
    </i>
    <i>
      <x v="3"/>
    </i>
    <i>
      <x v="4"/>
    </i>
    <i t="grand">
      <x/>
    </i>
  </rowItems>
  <colFields count="1">
    <field x="-2"/>
  </colFields>
  <colItems count="2">
    <i>
      <x/>
    </i>
    <i i="1">
      <x v="1"/>
    </i>
  </colItems>
  <dataFields count="2">
    <dataField name="Count of Customer Segment" fld="15" subtotal="count" baseField="0" baseItem="0"/>
    <dataField name="Sum of Total Spending" fld="8"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9" count="1" selected="0">
            <x v="0"/>
          </reference>
        </references>
      </pivotArea>
    </chartFormat>
    <chartFormat chart="8" format="16">
      <pivotArea type="data" outline="0" fieldPosition="0">
        <references count="2">
          <reference field="4294967294" count="1" selected="0">
            <x v="0"/>
          </reference>
          <reference field="9" count="1" selected="0">
            <x v="1"/>
          </reference>
        </references>
      </pivotArea>
    </chartFormat>
    <chartFormat chart="8" format="17">
      <pivotArea type="data" outline="0" fieldPosition="0">
        <references count="2">
          <reference field="4294967294" count="1" selected="0">
            <x v="0"/>
          </reference>
          <reference field="9" count="1" selected="0">
            <x v="2"/>
          </reference>
        </references>
      </pivotArea>
    </chartFormat>
    <chartFormat chart="8" format="18">
      <pivotArea type="data" outline="0" fieldPosition="0">
        <references count="2">
          <reference field="4294967294" count="1" selected="0">
            <x v="0"/>
          </reference>
          <reference field="9" count="1" selected="0">
            <x v="3"/>
          </reference>
        </references>
      </pivotArea>
    </chartFormat>
    <chartFormat chart="8" format="19">
      <pivotArea type="data" outline="0" fieldPosition="0">
        <references count="2">
          <reference field="4294967294" count="1" selected="0">
            <x v="0"/>
          </reference>
          <reference field="9" count="1" selected="0">
            <x v="4"/>
          </reference>
        </references>
      </pivotArea>
    </chartFormat>
    <chartFormat chart="8" format="20" series="1">
      <pivotArea type="data" outline="0" fieldPosition="0">
        <references count="1">
          <reference field="4294967294" count="1" selected="0">
            <x v="1"/>
          </reference>
        </references>
      </pivotArea>
    </chartFormat>
    <chartFormat chart="8" format="21">
      <pivotArea type="data" outline="0" fieldPosition="0">
        <references count="2">
          <reference field="4294967294" count="1" selected="0">
            <x v="1"/>
          </reference>
          <reference field="9" count="1" selected="0">
            <x v="0"/>
          </reference>
        </references>
      </pivotArea>
    </chartFormat>
    <chartFormat chart="8" format="22">
      <pivotArea type="data" outline="0" fieldPosition="0">
        <references count="2">
          <reference field="4294967294" count="1" selected="0">
            <x v="1"/>
          </reference>
          <reference field="9" count="1" selected="0">
            <x v="1"/>
          </reference>
        </references>
      </pivotArea>
    </chartFormat>
    <chartFormat chart="8" format="23">
      <pivotArea type="data" outline="0" fieldPosition="0">
        <references count="2">
          <reference field="4294967294" count="1" selected="0">
            <x v="1"/>
          </reference>
          <reference field="9" count="1" selected="0">
            <x v="2"/>
          </reference>
        </references>
      </pivotArea>
    </chartFormat>
    <chartFormat chart="8" format="24">
      <pivotArea type="data" outline="0" fieldPosition="0">
        <references count="2">
          <reference field="4294967294" count="1" selected="0">
            <x v="1"/>
          </reference>
          <reference field="9" count="1" selected="0">
            <x v="3"/>
          </reference>
        </references>
      </pivotArea>
    </chartFormat>
    <chartFormat chart="8" format="25">
      <pivotArea type="data" outline="0" fieldPosition="0">
        <references count="2">
          <reference field="4294967294" count="1" selected="0">
            <x v="1"/>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EC822A-94D7-4C40-8DA1-3148656A659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3" firstHeaderRow="0" firstDataRow="1" firstDataCol="1"/>
  <pivotFields count="16">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showAll="0"/>
    <pivotField showAll="0"/>
    <pivotField dataField="1" showAll="0"/>
    <pivotField showAll="0"/>
    <pivotField showAll="0"/>
    <pivotField showAll="0"/>
    <pivotField dataField="1" showAll="0"/>
    <pivotField showAll="0">
      <items count="6">
        <item x="4"/>
        <item x="2"/>
        <item x="3"/>
        <item x="1"/>
        <item x="0"/>
        <item t="default"/>
      </items>
    </pivotField>
    <pivotField showAll="0"/>
    <pivotField axis="axisRow" showAll="0">
      <items count="3">
        <item x="1"/>
        <item x="0"/>
        <item t="default"/>
      </items>
    </pivotField>
    <pivotField showAll="0"/>
    <pivotField axis="axisRow" showAll="0">
      <items count="4">
        <item x="2"/>
        <item x="1"/>
        <item x="0"/>
        <item t="default"/>
      </items>
    </pivotField>
    <pivotField showAll="0"/>
    <pivotField showAll="0"/>
  </pivotFields>
  <rowFields count="2">
    <field x="13"/>
    <field x="11"/>
  </rowFields>
  <rowItems count="10">
    <i>
      <x/>
    </i>
    <i r="1">
      <x/>
    </i>
    <i r="1">
      <x v="1"/>
    </i>
    <i>
      <x v="1"/>
    </i>
    <i r="1">
      <x/>
    </i>
    <i r="1">
      <x v="1"/>
    </i>
    <i>
      <x v="2"/>
    </i>
    <i r="1">
      <x/>
    </i>
    <i r="1">
      <x v="1"/>
    </i>
    <i t="grand">
      <x/>
    </i>
  </rowItems>
  <colFields count="1">
    <field x="-2"/>
  </colFields>
  <colItems count="3">
    <i>
      <x/>
    </i>
    <i i="1">
      <x v="1"/>
    </i>
    <i i="2">
      <x v="2"/>
    </i>
  </colItems>
  <dataFields count="3">
    <dataField name="Sum of Age" fld="1" baseField="0" baseItem="0"/>
    <dataField name="Sum of Income Level" fld="4" baseField="0" baseItem="0"/>
    <dataField name="Sum of Total Spending" fld="8" baseField="0" baseItem="0"/>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46E97C-37F7-4C5E-8084-B98ED3BE7E6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6">
    <pivotField showAll="0"/>
    <pivotField showAll="0"/>
    <pivotField axis="axisRow" showAll="0">
      <items count="3">
        <item x="1"/>
        <item x="0"/>
        <item t="default"/>
      </items>
    </pivotField>
    <pivotField showAll="0"/>
    <pivotField showAll="0"/>
    <pivotField showAll="0"/>
    <pivotField showAll="0"/>
    <pivotField showAll="0"/>
    <pivotField dataField="1" showAll="0"/>
    <pivotField axis="axisRow" showAll="0">
      <items count="6">
        <item x="4"/>
        <item x="2"/>
        <item x="3"/>
        <item x="1"/>
        <item x="0"/>
        <item t="default"/>
      </items>
    </pivotField>
    <pivotField showAll="0"/>
    <pivotField showAll="0">
      <items count="3">
        <item x="1"/>
        <item x="0"/>
        <item t="default"/>
      </items>
    </pivotField>
    <pivotField showAll="0">
      <items count="4">
        <item x="0"/>
        <item x="1"/>
        <item x="2"/>
        <item t="default"/>
      </items>
    </pivotField>
    <pivotField showAll="0"/>
    <pivotField showAll="0">
      <items count="57">
        <item x="8"/>
        <item x="3"/>
        <item x="21"/>
        <item x="5"/>
        <item x="14"/>
        <item x="12"/>
        <item x="37"/>
        <item x="18"/>
        <item x="39"/>
        <item x="16"/>
        <item x="53"/>
        <item x="24"/>
        <item x="23"/>
        <item x="0"/>
        <item x="33"/>
        <item x="27"/>
        <item x="32"/>
        <item x="36"/>
        <item x="41"/>
        <item x="28"/>
        <item x="38"/>
        <item x="26"/>
        <item x="54"/>
        <item x="15"/>
        <item x="9"/>
        <item x="30"/>
        <item x="11"/>
        <item x="1"/>
        <item x="4"/>
        <item x="45"/>
        <item x="46"/>
        <item x="43"/>
        <item x="19"/>
        <item x="17"/>
        <item x="20"/>
        <item x="47"/>
        <item x="31"/>
        <item x="44"/>
        <item x="6"/>
        <item x="55"/>
        <item x="25"/>
        <item x="48"/>
        <item x="2"/>
        <item x="10"/>
        <item x="22"/>
        <item x="40"/>
        <item x="7"/>
        <item x="35"/>
        <item x="50"/>
        <item x="13"/>
        <item x="29"/>
        <item x="42"/>
        <item x="52"/>
        <item x="51"/>
        <item x="34"/>
        <item x="49"/>
        <item t="default"/>
      </items>
    </pivotField>
    <pivotField showAll="0"/>
  </pivotFields>
  <rowFields count="2">
    <field x="2"/>
    <field x="9"/>
  </rowFields>
  <rowItems count="13">
    <i>
      <x/>
    </i>
    <i r="1">
      <x/>
    </i>
    <i r="1">
      <x v="1"/>
    </i>
    <i r="1">
      <x v="2"/>
    </i>
    <i r="1">
      <x v="3"/>
    </i>
    <i r="1">
      <x v="4"/>
    </i>
    <i>
      <x v="1"/>
    </i>
    <i r="1">
      <x/>
    </i>
    <i r="1">
      <x v="1"/>
    </i>
    <i r="1">
      <x v="2"/>
    </i>
    <i r="1">
      <x v="3"/>
    </i>
    <i r="1">
      <x v="4"/>
    </i>
    <i t="grand">
      <x/>
    </i>
  </rowItems>
  <colItems count="1">
    <i/>
  </colItems>
  <dataFields count="1">
    <dataField name="Sum of Total Spending" fld="8"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DAC69C-5A0D-4B8F-93E1-00F8D0F7E0E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6">
    <pivotField showAll="0"/>
    <pivotField showAll="0"/>
    <pivotField showAll="0"/>
    <pivotField showAll="0">
      <items count="7">
        <item h="1" x="0"/>
        <item h="1" x="2"/>
        <item h="1" x="3"/>
        <item h="1" x="4"/>
        <item x="5"/>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CEFBC3-E597-42E1-BA46-AD32E1B5546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488492-5B82-451C-B753-41AE27D1EEC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Region" xr10:uid="{16D62A4C-60C9-4FAA-BB06-048C41E721F4}" sourceName="City/Region">
  <pivotTables>
    <pivotTable tabId="25" name="PivotTable13"/>
  </pivotTables>
  <data>
    <tabular pivotCacheId="2002762509">
      <items count="6">
        <i x="0"/>
        <i x="2"/>
        <i x="3"/>
        <i x="4"/>
        <i x="5"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Channel" xr10:uid="{04B49D0E-3CD5-445D-9B60-3B3918993E35}" sourceName="Purchase Channel">
  <pivotTables>
    <pivotTable tabId="27" name="PivotTable15"/>
  </pivotTables>
  <data>
    <tabular pivotCacheId="200276250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EB95590-A09F-4C26-A051-BCC6D74355E1}" sourceName="Customer Segment">
  <pivotTables>
    <pivotTable tabId="28" name="PivotTable16"/>
  </pivotTables>
  <data>
    <tabular pivotCacheId="200276250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Region" xr10:uid="{9B5B4159-813F-43CF-A0CE-7297A54AAC43}" cache="Slicer_City_Region" caption="City/Region"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Channel" xr10:uid="{CFBBAA6D-CFC6-44EF-BDF7-2E2362C6DC1F}" cache="Slicer_Purchase_Channel" caption="Purchase Channel"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84DC02B4-683C-479A-82DF-B5CC8B3AD640}" cache="Slicer_Customer_Segment" caption="Customer Segment" style="SlicerStyleOther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Region 1" xr10:uid="{A87DF7F1-DC29-4119-AF92-A3D601581685}" cache="Slicer_City_Region" caption="City/Region" style="SlicerStyleOther2" rowHeight="234950"/>
  <slicer name="Purchase Channel 1" xr10:uid="{A9513D60-F50C-4233-8373-F039306B82FA}" cache="Slicer_Purchase_Channel" caption="Purchase Channel" style="SlicerStyleOther2" rowHeight="234950"/>
  <slicer name="Customer Segment 1" xr10:uid="{9B7336CF-E990-440E-81C2-9B92504E8241}" cache="Slicer_Customer_Segment" caption="Customer Segment"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topLeftCell="A2" workbookViewId="0">
      <selection activeCell="D1" sqref="D1"/>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v>36</v>
      </c>
      <c r="C2" t="s">
        <v>17</v>
      </c>
      <c r="D2" t="s">
        <v>18</v>
      </c>
      <c r="E2">
        <v>126530</v>
      </c>
      <c r="F2" t="s">
        <v>19</v>
      </c>
      <c r="G2">
        <v>2</v>
      </c>
      <c r="H2">
        <v>602</v>
      </c>
      <c r="I2">
        <v>1204</v>
      </c>
      <c r="J2" t="s">
        <v>20</v>
      </c>
      <c r="K2" t="s">
        <v>21</v>
      </c>
      <c r="L2" t="s">
        <v>22</v>
      </c>
      <c r="M2" t="s">
        <v>23</v>
      </c>
      <c r="N2" t="s">
        <v>24</v>
      </c>
      <c r="O2" t="s">
        <v>25</v>
      </c>
      <c r="P2" t="s">
        <v>26</v>
      </c>
    </row>
    <row r="3" spans="1:16" x14ac:dyDescent="0.3">
      <c r="A3" t="s">
        <v>27</v>
      </c>
      <c r="B3">
        <v>53</v>
      </c>
      <c r="C3" t="s">
        <v>17</v>
      </c>
      <c r="D3" t="s">
        <v>28</v>
      </c>
      <c r="E3">
        <v>56062</v>
      </c>
      <c r="F3" t="s">
        <v>29</v>
      </c>
      <c r="G3">
        <v>1</v>
      </c>
      <c r="H3">
        <v>883</v>
      </c>
      <c r="I3">
        <v>883</v>
      </c>
      <c r="J3" t="s">
        <v>20</v>
      </c>
      <c r="K3" t="s">
        <v>30</v>
      </c>
      <c r="L3" t="s">
        <v>31</v>
      </c>
      <c r="M3" t="s">
        <v>32</v>
      </c>
      <c r="N3" t="s">
        <v>32</v>
      </c>
      <c r="O3" t="s">
        <v>33</v>
      </c>
      <c r="P3" t="s">
        <v>26</v>
      </c>
    </row>
    <row r="4" spans="1:16" x14ac:dyDescent="0.3">
      <c r="A4" t="s">
        <v>34</v>
      </c>
      <c r="B4">
        <v>48</v>
      </c>
      <c r="C4" t="s">
        <v>35</v>
      </c>
      <c r="D4" t="s">
        <v>36</v>
      </c>
      <c r="E4">
        <v>50379</v>
      </c>
      <c r="F4" t="s">
        <v>37</v>
      </c>
      <c r="G4">
        <v>5</v>
      </c>
      <c r="H4">
        <v>3815</v>
      </c>
      <c r="I4">
        <v>19075</v>
      </c>
      <c r="J4" t="s">
        <v>38</v>
      </c>
      <c r="K4" t="s">
        <v>21</v>
      </c>
      <c r="L4" t="s">
        <v>31</v>
      </c>
      <c r="M4" t="s">
        <v>32</v>
      </c>
      <c r="N4" t="s">
        <v>32</v>
      </c>
      <c r="O4" t="s">
        <v>39</v>
      </c>
      <c r="P4" t="s">
        <v>40</v>
      </c>
    </row>
    <row r="5" spans="1:16" x14ac:dyDescent="0.3">
      <c r="A5" t="s">
        <v>41</v>
      </c>
      <c r="B5">
        <v>37</v>
      </c>
      <c r="C5" t="s">
        <v>17</v>
      </c>
      <c r="D5" t="s">
        <v>42</v>
      </c>
      <c r="E5">
        <v>90217</v>
      </c>
      <c r="F5" t="s">
        <v>43</v>
      </c>
      <c r="G5">
        <v>2</v>
      </c>
      <c r="H5">
        <v>1970</v>
      </c>
      <c r="I5">
        <v>3940</v>
      </c>
      <c r="J5" t="s">
        <v>44</v>
      </c>
      <c r="K5" t="s">
        <v>30</v>
      </c>
      <c r="L5" t="s">
        <v>31</v>
      </c>
      <c r="M5" t="s">
        <v>24</v>
      </c>
      <c r="N5" t="s">
        <v>23</v>
      </c>
      <c r="O5" t="s">
        <v>45</v>
      </c>
      <c r="P5" t="s">
        <v>46</v>
      </c>
    </row>
    <row r="6" spans="1:16" x14ac:dyDescent="0.3">
      <c r="A6" t="s">
        <v>47</v>
      </c>
      <c r="B6">
        <v>44</v>
      </c>
      <c r="C6" t="s">
        <v>17</v>
      </c>
      <c r="D6" t="s">
        <v>42</v>
      </c>
      <c r="E6">
        <v>39116</v>
      </c>
      <c r="F6" t="s">
        <v>19</v>
      </c>
      <c r="G6">
        <v>5</v>
      </c>
      <c r="H6">
        <v>3897</v>
      </c>
      <c r="I6">
        <v>19485</v>
      </c>
      <c r="J6" t="s">
        <v>48</v>
      </c>
      <c r="K6" t="s">
        <v>30</v>
      </c>
      <c r="L6" t="s">
        <v>31</v>
      </c>
      <c r="M6" t="s">
        <v>23</v>
      </c>
      <c r="N6" t="s">
        <v>23</v>
      </c>
      <c r="O6" t="s">
        <v>49</v>
      </c>
      <c r="P6" t="s">
        <v>40</v>
      </c>
    </row>
    <row r="7" spans="1:16" x14ac:dyDescent="0.3">
      <c r="A7" t="s">
        <v>50</v>
      </c>
      <c r="B7">
        <v>44</v>
      </c>
      <c r="C7" t="s">
        <v>17</v>
      </c>
      <c r="D7" t="s">
        <v>36</v>
      </c>
      <c r="E7">
        <v>76566</v>
      </c>
      <c r="F7" t="s">
        <v>37</v>
      </c>
      <c r="G7">
        <v>2</v>
      </c>
      <c r="H7">
        <v>2056</v>
      </c>
      <c r="I7">
        <v>4112</v>
      </c>
      <c r="J7" t="s">
        <v>38</v>
      </c>
      <c r="K7" t="s">
        <v>21</v>
      </c>
      <c r="L7" t="s">
        <v>31</v>
      </c>
      <c r="M7" t="s">
        <v>24</v>
      </c>
      <c r="N7" t="s">
        <v>24</v>
      </c>
      <c r="O7" t="s">
        <v>51</v>
      </c>
      <c r="P7" t="s">
        <v>26</v>
      </c>
    </row>
    <row r="8" spans="1:16" x14ac:dyDescent="0.3">
      <c r="A8" t="s">
        <v>52</v>
      </c>
      <c r="B8">
        <v>38</v>
      </c>
      <c r="C8" t="s">
        <v>17</v>
      </c>
      <c r="D8" t="s">
        <v>42</v>
      </c>
      <c r="E8">
        <v>72504</v>
      </c>
      <c r="F8" t="s">
        <v>19</v>
      </c>
      <c r="G8">
        <v>4</v>
      </c>
      <c r="H8">
        <v>1169</v>
      </c>
      <c r="I8">
        <v>4676</v>
      </c>
      <c r="J8" t="s">
        <v>48</v>
      </c>
      <c r="K8" t="s">
        <v>21</v>
      </c>
      <c r="L8" t="s">
        <v>22</v>
      </c>
      <c r="M8" t="s">
        <v>24</v>
      </c>
      <c r="N8" t="s">
        <v>24</v>
      </c>
      <c r="O8" t="s">
        <v>53</v>
      </c>
      <c r="P8" t="s">
        <v>26</v>
      </c>
    </row>
    <row r="9" spans="1:16" x14ac:dyDescent="0.3">
      <c r="A9" t="s">
        <v>54</v>
      </c>
      <c r="B9">
        <v>41</v>
      </c>
      <c r="C9" t="s">
        <v>17</v>
      </c>
      <c r="D9" t="s">
        <v>42</v>
      </c>
      <c r="E9">
        <v>95435</v>
      </c>
      <c r="F9" t="s">
        <v>55</v>
      </c>
      <c r="G9">
        <v>5</v>
      </c>
      <c r="H9">
        <v>771</v>
      </c>
      <c r="I9">
        <v>3855</v>
      </c>
      <c r="J9" t="s">
        <v>56</v>
      </c>
      <c r="K9" t="s">
        <v>21</v>
      </c>
      <c r="L9" t="s">
        <v>22</v>
      </c>
      <c r="M9" t="s">
        <v>32</v>
      </c>
      <c r="N9" t="s">
        <v>23</v>
      </c>
      <c r="O9" t="s">
        <v>57</v>
      </c>
      <c r="P9" t="s">
        <v>46</v>
      </c>
    </row>
    <row r="10" spans="1:16" x14ac:dyDescent="0.3">
      <c r="A10" t="s">
        <v>58</v>
      </c>
      <c r="B10">
        <v>37</v>
      </c>
      <c r="C10" t="s">
        <v>35</v>
      </c>
      <c r="D10" t="s">
        <v>28</v>
      </c>
      <c r="E10">
        <v>82350</v>
      </c>
      <c r="F10" t="s">
        <v>59</v>
      </c>
      <c r="G10">
        <v>4</v>
      </c>
      <c r="H10">
        <v>3551</v>
      </c>
      <c r="I10">
        <v>14204</v>
      </c>
      <c r="J10" t="s">
        <v>48</v>
      </c>
      <c r="K10" t="s">
        <v>21</v>
      </c>
      <c r="L10" t="s">
        <v>22</v>
      </c>
      <c r="M10" t="s">
        <v>23</v>
      </c>
      <c r="N10" t="s">
        <v>23</v>
      </c>
      <c r="O10" t="s">
        <v>60</v>
      </c>
      <c r="P10" t="s">
        <v>61</v>
      </c>
    </row>
    <row r="11" spans="1:16" x14ac:dyDescent="0.3">
      <c r="A11" t="s">
        <v>62</v>
      </c>
      <c r="B11">
        <v>31</v>
      </c>
      <c r="C11" t="s">
        <v>35</v>
      </c>
      <c r="D11" t="s">
        <v>28</v>
      </c>
      <c r="E11">
        <v>38326</v>
      </c>
      <c r="F11" t="s">
        <v>55</v>
      </c>
      <c r="G11">
        <v>1</v>
      </c>
      <c r="H11">
        <v>949</v>
      </c>
      <c r="I11">
        <v>949</v>
      </c>
      <c r="J11" t="s">
        <v>56</v>
      </c>
      <c r="K11" t="s">
        <v>30</v>
      </c>
      <c r="L11" t="s">
        <v>22</v>
      </c>
      <c r="M11" t="s">
        <v>32</v>
      </c>
      <c r="N11" t="s">
        <v>23</v>
      </c>
      <c r="O11" t="s">
        <v>45</v>
      </c>
      <c r="P11" t="s">
        <v>46</v>
      </c>
    </row>
    <row r="12" spans="1:16" x14ac:dyDescent="0.3">
      <c r="A12" t="s">
        <v>63</v>
      </c>
      <c r="B12">
        <v>55</v>
      </c>
      <c r="C12" t="s">
        <v>35</v>
      </c>
      <c r="D12" t="s">
        <v>42</v>
      </c>
      <c r="E12">
        <v>74587</v>
      </c>
      <c r="F12" t="s">
        <v>19</v>
      </c>
      <c r="G12">
        <v>1</v>
      </c>
      <c r="H12">
        <v>3286</v>
      </c>
      <c r="I12">
        <v>3286</v>
      </c>
      <c r="J12" t="s">
        <v>38</v>
      </c>
      <c r="K12" t="s">
        <v>30</v>
      </c>
      <c r="L12" t="s">
        <v>31</v>
      </c>
      <c r="M12" t="s">
        <v>23</v>
      </c>
      <c r="N12" t="s">
        <v>32</v>
      </c>
      <c r="O12" t="s">
        <v>64</v>
      </c>
      <c r="P12" t="s">
        <v>26</v>
      </c>
    </row>
    <row r="13" spans="1:16" x14ac:dyDescent="0.3">
      <c r="A13" t="s">
        <v>65</v>
      </c>
      <c r="B13">
        <v>53</v>
      </c>
      <c r="C13" t="s">
        <v>17</v>
      </c>
      <c r="D13" t="s">
        <v>28</v>
      </c>
      <c r="E13">
        <v>149619</v>
      </c>
      <c r="F13" t="s">
        <v>19</v>
      </c>
      <c r="G13">
        <v>1</v>
      </c>
      <c r="H13">
        <v>3457</v>
      </c>
      <c r="I13">
        <v>3457</v>
      </c>
      <c r="J13" t="s">
        <v>38</v>
      </c>
      <c r="K13" t="s">
        <v>21</v>
      </c>
      <c r="L13" t="s">
        <v>31</v>
      </c>
      <c r="M13" t="s">
        <v>23</v>
      </c>
      <c r="N13" t="s">
        <v>24</v>
      </c>
      <c r="O13" t="s">
        <v>66</v>
      </c>
      <c r="P13" t="s">
        <v>26</v>
      </c>
    </row>
    <row r="14" spans="1:16" x14ac:dyDescent="0.3">
      <c r="A14" t="s">
        <v>67</v>
      </c>
      <c r="B14">
        <v>41</v>
      </c>
      <c r="C14" t="s">
        <v>35</v>
      </c>
      <c r="D14" t="s">
        <v>68</v>
      </c>
      <c r="E14">
        <v>44662</v>
      </c>
      <c r="F14" t="s">
        <v>59</v>
      </c>
      <c r="G14">
        <v>3</v>
      </c>
      <c r="H14">
        <v>2709</v>
      </c>
      <c r="I14">
        <v>8127</v>
      </c>
      <c r="J14" t="s">
        <v>38</v>
      </c>
      <c r="K14" t="s">
        <v>21</v>
      </c>
      <c r="L14" t="s">
        <v>31</v>
      </c>
      <c r="M14" t="s">
        <v>23</v>
      </c>
      <c r="N14" t="s">
        <v>32</v>
      </c>
      <c r="O14" t="s">
        <v>69</v>
      </c>
      <c r="P14" t="s">
        <v>26</v>
      </c>
    </row>
    <row r="15" spans="1:16" x14ac:dyDescent="0.3">
      <c r="A15" t="s">
        <v>70</v>
      </c>
      <c r="B15">
        <v>25</v>
      </c>
      <c r="C15" t="s">
        <v>17</v>
      </c>
      <c r="D15" t="s">
        <v>18</v>
      </c>
      <c r="E15">
        <v>116474</v>
      </c>
      <c r="F15" t="s">
        <v>55</v>
      </c>
      <c r="G15">
        <v>2</v>
      </c>
      <c r="H15">
        <v>850</v>
      </c>
      <c r="I15">
        <v>1700</v>
      </c>
      <c r="J15" t="s">
        <v>20</v>
      </c>
      <c r="K15" t="s">
        <v>21</v>
      </c>
      <c r="L15" t="s">
        <v>22</v>
      </c>
      <c r="M15" t="s">
        <v>23</v>
      </c>
      <c r="N15" t="s">
        <v>24</v>
      </c>
      <c r="O15" t="s">
        <v>71</v>
      </c>
      <c r="P15" t="s">
        <v>26</v>
      </c>
    </row>
    <row r="16" spans="1:16" x14ac:dyDescent="0.3">
      <c r="A16" t="s">
        <v>72</v>
      </c>
      <c r="B16">
        <v>33</v>
      </c>
      <c r="C16" t="s">
        <v>35</v>
      </c>
      <c r="D16" t="s">
        <v>73</v>
      </c>
      <c r="E16">
        <v>118039</v>
      </c>
      <c r="F16" t="s">
        <v>29</v>
      </c>
      <c r="G16">
        <v>7</v>
      </c>
      <c r="H16">
        <v>1367</v>
      </c>
      <c r="I16">
        <v>9569</v>
      </c>
      <c r="J16" t="s">
        <v>38</v>
      </c>
      <c r="K16" t="s">
        <v>30</v>
      </c>
      <c r="L16" t="s">
        <v>22</v>
      </c>
      <c r="M16" t="s">
        <v>23</v>
      </c>
      <c r="N16" t="s">
        <v>23</v>
      </c>
      <c r="O16" t="s">
        <v>74</v>
      </c>
      <c r="P16" t="s">
        <v>61</v>
      </c>
    </row>
    <row r="17" spans="1:16" x14ac:dyDescent="0.3">
      <c r="A17" t="s">
        <v>75</v>
      </c>
      <c r="B17">
        <v>22</v>
      </c>
      <c r="C17" t="s">
        <v>17</v>
      </c>
      <c r="D17" t="s">
        <v>28</v>
      </c>
      <c r="E17">
        <v>58864</v>
      </c>
      <c r="F17" t="s">
        <v>19</v>
      </c>
      <c r="G17">
        <v>4</v>
      </c>
      <c r="H17">
        <v>1420</v>
      </c>
      <c r="I17">
        <v>5680</v>
      </c>
      <c r="J17" t="s">
        <v>44</v>
      </c>
      <c r="K17" t="s">
        <v>21</v>
      </c>
      <c r="L17" t="s">
        <v>31</v>
      </c>
      <c r="M17" t="s">
        <v>32</v>
      </c>
      <c r="N17" t="s">
        <v>24</v>
      </c>
      <c r="O17" t="s">
        <v>76</v>
      </c>
      <c r="P17" t="s">
        <v>26</v>
      </c>
    </row>
    <row r="18" spans="1:16" x14ac:dyDescent="0.3">
      <c r="A18" t="s">
        <v>77</v>
      </c>
      <c r="B18">
        <v>36</v>
      </c>
      <c r="C18" t="s">
        <v>35</v>
      </c>
      <c r="D18" t="s">
        <v>42</v>
      </c>
      <c r="E18">
        <v>93624</v>
      </c>
      <c r="F18" t="s">
        <v>37</v>
      </c>
      <c r="G18">
        <v>1</v>
      </c>
      <c r="H18">
        <v>1853</v>
      </c>
      <c r="I18">
        <v>1853</v>
      </c>
      <c r="J18" t="s">
        <v>20</v>
      </c>
      <c r="K18" t="s">
        <v>21</v>
      </c>
      <c r="L18" t="s">
        <v>22</v>
      </c>
      <c r="M18" t="s">
        <v>32</v>
      </c>
      <c r="N18" t="s">
        <v>23</v>
      </c>
      <c r="O18" t="s">
        <v>78</v>
      </c>
      <c r="P18" t="s">
        <v>46</v>
      </c>
    </row>
    <row r="19" spans="1:16" x14ac:dyDescent="0.3">
      <c r="A19" t="s">
        <v>79</v>
      </c>
      <c r="B19">
        <v>27</v>
      </c>
      <c r="C19" t="s">
        <v>17</v>
      </c>
      <c r="D19" t="s">
        <v>42</v>
      </c>
      <c r="E19">
        <v>86498</v>
      </c>
      <c r="F19" t="s">
        <v>59</v>
      </c>
      <c r="G19">
        <v>8</v>
      </c>
      <c r="H19">
        <v>3807</v>
      </c>
      <c r="I19">
        <v>30456</v>
      </c>
      <c r="J19" t="s">
        <v>56</v>
      </c>
      <c r="K19" t="s">
        <v>30</v>
      </c>
      <c r="L19" t="s">
        <v>22</v>
      </c>
      <c r="M19" t="s">
        <v>24</v>
      </c>
      <c r="N19" t="s">
        <v>32</v>
      </c>
      <c r="O19" t="s">
        <v>80</v>
      </c>
      <c r="P19" t="s">
        <v>40</v>
      </c>
    </row>
    <row r="20" spans="1:16" x14ac:dyDescent="0.3">
      <c r="A20" t="s">
        <v>81</v>
      </c>
      <c r="B20">
        <v>42</v>
      </c>
      <c r="C20" t="s">
        <v>17</v>
      </c>
      <c r="D20" t="s">
        <v>18</v>
      </c>
      <c r="E20">
        <v>55112</v>
      </c>
      <c r="F20" t="s">
        <v>37</v>
      </c>
      <c r="G20">
        <v>2</v>
      </c>
      <c r="H20">
        <v>748</v>
      </c>
      <c r="I20">
        <v>1496</v>
      </c>
      <c r="J20" t="s">
        <v>20</v>
      </c>
      <c r="K20" t="s">
        <v>30</v>
      </c>
      <c r="L20" t="s">
        <v>31</v>
      </c>
      <c r="M20" t="s">
        <v>24</v>
      </c>
      <c r="N20" t="s">
        <v>23</v>
      </c>
      <c r="O20" t="s">
        <v>82</v>
      </c>
      <c r="P20" t="s">
        <v>46</v>
      </c>
    </row>
    <row r="21" spans="1:16" x14ac:dyDescent="0.3">
      <c r="A21" t="s">
        <v>83</v>
      </c>
      <c r="B21">
        <v>25</v>
      </c>
      <c r="C21" t="s">
        <v>35</v>
      </c>
      <c r="D21" t="s">
        <v>28</v>
      </c>
      <c r="E21">
        <v>42833</v>
      </c>
      <c r="F21" t="s">
        <v>19</v>
      </c>
      <c r="G21">
        <v>3</v>
      </c>
      <c r="H21">
        <v>1640</v>
      </c>
      <c r="I21">
        <v>4920</v>
      </c>
      <c r="J21" t="s">
        <v>20</v>
      </c>
      <c r="K21" t="s">
        <v>21</v>
      </c>
      <c r="L21" t="s">
        <v>31</v>
      </c>
      <c r="M21" t="s">
        <v>24</v>
      </c>
      <c r="N21" t="s">
        <v>32</v>
      </c>
      <c r="O21" t="s">
        <v>69</v>
      </c>
      <c r="P21" t="s">
        <v>26</v>
      </c>
    </row>
    <row r="22" spans="1:16" x14ac:dyDescent="0.3">
      <c r="A22" t="s">
        <v>84</v>
      </c>
      <c r="B22">
        <v>34</v>
      </c>
      <c r="C22" t="s">
        <v>35</v>
      </c>
      <c r="D22" t="s">
        <v>68</v>
      </c>
      <c r="E22">
        <v>51579</v>
      </c>
      <c r="F22" t="s">
        <v>55</v>
      </c>
      <c r="G22">
        <v>3</v>
      </c>
      <c r="H22">
        <v>2164</v>
      </c>
      <c r="I22">
        <v>6492</v>
      </c>
      <c r="J22" t="s">
        <v>44</v>
      </c>
      <c r="K22" t="s">
        <v>30</v>
      </c>
      <c r="L22" t="s">
        <v>22</v>
      </c>
      <c r="M22" t="s">
        <v>24</v>
      </c>
      <c r="N22" t="s">
        <v>24</v>
      </c>
      <c r="O22" t="s">
        <v>64</v>
      </c>
      <c r="P22" t="s">
        <v>26</v>
      </c>
    </row>
    <row r="23" spans="1:16" x14ac:dyDescent="0.3">
      <c r="A23" t="s">
        <v>85</v>
      </c>
      <c r="B23">
        <v>52</v>
      </c>
      <c r="C23" t="s">
        <v>17</v>
      </c>
      <c r="D23" t="s">
        <v>18</v>
      </c>
      <c r="E23">
        <v>68890</v>
      </c>
      <c r="F23" t="s">
        <v>37</v>
      </c>
      <c r="G23">
        <v>5</v>
      </c>
      <c r="H23">
        <v>2232</v>
      </c>
      <c r="I23">
        <v>11160</v>
      </c>
      <c r="J23" t="s">
        <v>44</v>
      </c>
      <c r="K23" t="s">
        <v>21</v>
      </c>
      <c r="L23" t="s">
        <v>22</v>
      </c>
      <c r="M23" t="s">
        <v>23</v>
      </c>
      <c r="N23" t="s">
        <v>23</v>
      </c>
      <c r="O23" t="s">
        <v>86</v>
      </c>
      <c r="P23" t="s">
        <v>61</v>
      </c>
    </row>
    <row r="24" spans="1:16" x14ac:dyDescent="0.3">
      <c r="A24" t="s">
        <v>87</v>
      </c>
      <c r="B24">
        <v>54</v>
      </c>
      <c r="C24" t="s">
        <v>17</v>
      </c>
      <c r="D24" t="s">
        <v>68</v>
      </c>
      <c r="E24">
        <v>96562</v>
      </c>
      <c r="F24" t="s">
        <v>19</v>
      </c>
      <c r="G24">
        <v>1</v>
      </c>
      <c r="H24">
        <v>2892</v>
      </c>
      <c r="I24">
        <v>2892</v>
      </c>
      <c r="J24" t="s">
        <v>48</v>
      </c>
      <c r="K24" t="s">
        <v>21</v>
      </c>
      <c r="L24" t="s">
        <v>31</v>
      </c>
      <c r="M24" t="s">
        <v>24</v>
      </c>
      <c r="N24" t="s">
        <v>23</v>
      </c>
      <c r="O24" t="s">
        <v>88</v>
      </c>
      <c r="P24" t="s">
        <v>46</v>
      </c>
    </row>
    <row r="25" spans="1:16" x14ac:dyDescent="0.3">
      <c r="A25" t="s">
        <v>89</v>
      </c>
      <c r="B25">
        <v>36</v>
      </c>
      <c r="C25" t="s">
        <v>17</v>
      </c>
      <c r="D25" t="s">
        <v>28</v>
      </c>
      <c r="E25">
        <v>40745</v>
      </c>
      <c r="F25" t="s">
        <v>55</v>
      </c>
      <c r="G25">
        <v>4</v>
      </c>
      <c r="H25">
        <v>2153</v>
      </c>
      <c r="I25">
        <v>8612</v>
      </c>
      <c r="J25" t="s">
        <v>20</v>
      </c>
      <c r="K25" t="s">
        <v>30</v>
      </c>
      <c r="L25" t="s">
        <v>22</v>
      </c>
      <c r="M25" t="s">
        <v>32</v>
      </c>
      <c r="N25" t="s">
        <v>23</v>
      </c>
      <c r="O25" t="s">
        <v>90</v>
      </c>
      <c r="P25" t="s">
        <v>46</v>
      </c>
    </row>
    <row r="26" spans="1:16" x14ac:dyDescent="0.3">
      <c r="A26" t="s">
        <v>91</v>
      </c>
      <c r="B26">
        <v>29</v>
      </c>
      <c r="C26" t="s">
        <v>35</v>
      </c>
      <c r="D26" t="s">
        <v>73</v>
      </c>
      <c r="E26">
        <v>71441</v>
      </c>
      <c r="F26" t="s">
        <v>19</v>
      </c>
      <c r="G26">
        <v>6</v>
      </c>
      <c r="H26">
        <v>1477</v>
      </c>
      <c r="I26">
        <v>8862</v>
      </c>
      <c r="J26" t="s">
        <v>44</v>
      </c>
      <c r="K26" t="s">
        <v>30</v>
      </c>
      <c r="L26" t="s">
        <v>31</v>
      </c>
      <c r="M26" t="s">
        <v>24</v>
      </c>
      <c r="N26" t="s">
        <v>24</v>
      </c>
      <c r="O26" t="s">
        <v>92</v>
      </c>
      <c r="P26" t="s">
        <v>26</v>
      </c>
    </row>
    <row r="27" spans="1:16" x14ac:dyDescent="0.3">
      <c r="A27" t="s">
        <v>93</v>
      </c>
      <c r="B27">
        <v>43</v>
      </c>
      <c r="C27" t="s">
        <v>17</v>
      </c>
      <c r="D27" t="s">
        <v>18</v>
      </c>
      <c r="E27">
        <v>78434</v>
      </c>
      <c r="F27" t="s">
        <v>59</v>
      </c>
      <c r="G27">
        <v>4</v>
      </c>
      <c r="H27">
        <v>2572</v>
      </c>
      <c r="I27">
        <v>10288</v>
      </c>
      <c r="J27" t="s">
        <v>48</v>
      </c>
      <c r="K27" t="s">
        <v>30</v>
      </c>
      <c r="L27" t="s">
        <v>22</v>
      </c>
      <c r="M27" t="s">
        <v>24</v>
      </c>
      <c r="N27" t="s">
        <v>32</v>
      </c>
      <c r="O27" t="s">
        <v>94</v>
      </c>
      <c r="P27" t="s">
        <v>26</v>
      </c>
    </row>
    <row r="28" spans="1:16" x14ac:dyDescent="0.3">
      <c r="A28" t="s">
        <v>95</v>
      </c>
      <c r="B28">
        <v>27</v>
      </c>
      <c r="C28" t="s">
        <v>17</v>
      </c>
      <c r="D28" t="s">
        <v>36</v>
      </c>
      <c r="E28">
        <v>45129</v>
      </c>
      <c r="F28" t="s">
        <v>19</v>
      </c>
      <c r="G28">
        <v>1</v>
      </c>
      <c r="H28">
        <v>3235</v>
      </c>
      <c r="I28">
        <v>3235</v>
      </c>
      <c r="J28" t="s">
        <v>20</v>
      </c>
      <c r="K28" t="s">
        <v>21</v>
      </c>
      <c r="L28" t="s">
        <v>22</v>
      </c>
      <c r="M28" t="s">
        <v>23</v>
      </c>
      <c r="N28" t="s">
        <v>24</v>
      </c>
      <c r="O28" t="s">
        <v>96</v>
      </c>
      <c r="P28" t="s">
        <v>26</v>
      </c>
    </row>
    <row r="29" spans="1:16" x14ac:dyDescent="0.3">
      <c r="A29" t="s">
        <v>97</v>
      </c>
      <c r="B29">
        <v>37</v>
      </c>
      <c r="C29" t="s">
        <v>35</v>
      </c>
      <c r="D29" t="s">
        <v>36</v>
      </c>
      <c r="E29">
        <v>148664</v>
      </c>
      <c r="F29" t="s">
        <v>19</v>
      </c>
      <c r="G29">
        <v>4</v>
      </c>
      <c r="H29">
        <v>3439</v>
      </c>
      <c r="I29">
        <v>13756</v>
      </c>
      <c r="J29" t="s">
        <v>44</v>
      </c>
      <c r="K29" t="s">
        <v>30</v>
      </c>
      <c r="L29" t="s">
        <v>22</v>
      </c>
      <c r="M29" t="s">
        <v>24</v>
      </c>
      <c r="N29" t="s">
        <v>32</v>
      </c>
      <c r="O29" t="s">
        <v>98</v>
      </c>
      <c r="P29" t="s">
        <v>26</v>
      </c>
    </row>
    <row r="30" spans="1:16" x14ac:dyDescent="0.3">
      <c r="A30" t="s">
        <v>99</v>
      </c>
      <c r="B30">
        <v>37</v>
      </c>
      <c r="C30" t="s">
        <v>17</v>
      </c>
      <c r="D30" t="s">
        <v>42</v>
      </c>
      <c r="E30">
        <v>87912</v>
      </c>
      <c r="F30" t="s">
        <v>43</v>
      </c>
      <c r="G30">
        <v>1</v>
      </c>
      <c r="H30">
        <v>1866</v>
      </c>
      <c r="I30">
        <v>1866</v>
      </c>
      <c r="J30" t="s">
        <v>56</v>
      </c>
      <c r="K30" t="s">
        <v>21</v>
      </c>
      <c r="L30" t="s">
        <v>31</v>
      </c>
      <c r="M30" t="s">
        <v>32</v>
      </c>
      <c r="N30" t="s">
        <v>23</v>
      </c>
      <c r="O30" t="s">
        <v>92</v>
      </c>
      <c r="P30" t="s">
        <v>46</v>
      </c>
    </row>
    <row r="31" spans="1:16" x14ac:dyDescent="0.3">
      <c r="A31" t="s">
        <v>100</v>
      </c>
      <c r="B31">
        <v>30</v>
      </c>
      <c r="C31" t="s">
        <v>35</v>
      </c>
      <c r="D31" t="s">
        <v>18</v>
      </c>
      <c r="E31">
        <v>35482</v>
      </c>
      <c r="F31" t="s">
        <v>59</v>
      </c>
      <c r="G31">
        <v>3</v>
      </c>
      <c r="H31">
        <v>2734</v>
      </c>
      <c r="I31">
        <v>8202</v>
      </c>
      <c r="J31" t="s">
        <v>38</v>
      </c>
      <c r="K31" t="s">
        <v>21</v>
      </c>
      <c r="L31" t="s">
        <v>22</v>
      </c>
      <c r="M31" t="s">
        <v>32</v>
      </c>
      <c r="N31" t="s">
        <v>24</v>
      </c>
      <c r="O31" t="s">
        <v>90</v>
      </c>
      <c r="P31" t="s">
        <v>26</v>
      </c>
    </row>
    <row r="32" spans="1:16" x14ac:dyDescent="0.3">
      <c r="A32" t="s">
        <v>101</v>
      </c>
      <c r="B32">
        <v>47</v>
      </c>
      <c r="C32" t="s">
        <v>17</v>
      </c>
      <c r="D32" t="s">
        <v>18</v>
      </c>
      <c r="E32">
        <v>143325</v>
      </c>
      <c r="F32" t="s">
        <v>37</v>
      </c>
      <c r="G32">
        <v>4</v>
      </c>
      <c r="H32">
        <v>3231</v>
      </c>
      <c r="I32">
        <v>12924</v>
      </c>
      <c r="J32" t="s">
        <v>48</v>
      </c>
      <c r="K32" t="s">
        <v>30</v>
      </c>
      <c r="L32" t="s">
        <v>31</v>
      </c>
      <c r="M32" t="s">
        <v>32</v>
      </c>
      <c r="N32" t="s">
        <v>24</v>
      </c>
      <c r="O32" t="s">
        <v>102</v>
      </c>
      <c r="P32" t="s">
        <v>26</v>
      </c>
    </row>
    <row r="33" spans="1:16" x14ac:dyDescent="0.3">
      <c r="A33" t="s">
        <v>103</v>
      </c>
      <c r="B33">
        <v>36</v>
      </c>
      <c r="C33" t="s">
        <v>35</v>
      </c>
      <c r="D33" t="s">
        <v>18</v>
      </c>
      <c r="E33">
        <v>133202</v>
      </c>
      <c r="F33" t="s">
        <v>29</v>
      </c>
      <c r="G33">
        <v>6</v>
      </c>
      <c r="H33">
        <v>3704</v>
      </c>
      <c r="I33">
        <v>22224</v>
      </c>
      <c r="J33" t="s">
        <v>44</v>
      </c>
      <c r="K33" t="s">
        <v>30</v>
      </c>
      <c r="L33" t="s">
        <v>31</v>
      </c>
      <c r="M33" t="s">
        <v>24</v>
      </c>
      <c r="N33" t="s">
        <v>23</v>
      </c>
      <c r="O33" t="s">
        <v>104</v>
      </c>
      <c r="P33" t="s">
        <v>40</v>
      </c>
    </row>
    <row r="34" spans="1:16" x14ac:dyDescent="0.3">
      <c r="A34" t="s">
        <v>105</v>
      </c>
      <c r="B34">
        <v>40</v>
      </c>
      <c r="C34" t="s">
        <v>17</v>
      </c>
      <c r="D34" t="s">
        <v>18</v>
      </c>
      <c r="E34">
        <v>33101</v>
      </c>
      <c r="F34" t="s">
        <v>29</v>
      </c>
      <c r="G34">
        <v>4</v>
      </c>
      <c r="H34">
        <v>1317</v>
      </c>
      <c r="I34">
        <v>5268</v>
      </c>
      <c r="J34" t="s">
        <v>48</v>
      </c>
      <c r="K34" t="s">
        <v>30</v>
      </c>
      <c r="L34" t="s">
        <v>22</v>
      </c>
      <c r="M34" t="s">
        <v>24</v>
      </c>
      <c r="N34" t="s">
        <v>24</v>
      </c>
      <c r="O34" t="s">
        <v>106</v>
      </c>
      <c r="P34" t="s">
        <v>26</v>
      </c>
    </row>
    <row r="35" spans="1:16" x14ac:dyDescent="0.3">
      <c r="A35" t="s">
        <v>107</v>
      </c>
      <c r="B35">
        <v>53</v>
      </c>
      <c r="C35" t="s">
        <v>35</v>
      </c>
      <c r="D35" t="s">
        <v>42</v>
      </c>
      <c r="E35">
        <v>140580</v>
      </c>
      <c r="F35" t="s">
        <v>43</v>
      </c>
      <c r="G35">
        <v>2</v>
      </c>
      <c r="H35">
        <v>3667</v>
      </c>
      <c r="I35">
        <v>7334</v>
      </c>
      <c r="J35" t="s">
        <v>38</v>
      </c>
      <c r="K35" t="s">
        <v>21</v>
      </c>
      <c r="L35" t="s">
        <v>31</v>
      </c>
      <c r="M35" t="s">
        <v>24</v>
      </c>
      <c r="N35" t="s">
        <v>24</v>
      </c>
      <c r="O35" t="s">
        <v>108</v>
      </c>
      <c r="P35" t="s">
        <v>26</v>
      </c>
    </row>
    <row r="36" spans="1:16" x14ac:dyDescent="0.3">
      <c r="A36" t="s">
        <v>109</v>
      </c>
      <c r="B36">
        <v>27</v>
      </c>
      <c r="C36" t="s">
        <v>35</v>
      </c>
      <c r="D36" t="s">
        <v>36</v>
      </c>
      <c r="E36">
        <v>125491</v>
      </c>
      <c r="F36" t="s">
        <v>59</v>
      </c>
      <c r="G36">
        <v>3</v>
      </c>
      <c r="H36">
        <v>2878</v>
      </c>
      <c r="I36">
        <v>8634</v>
      </c>
      <c r="J36" t="s">
        <v>56</v>
      </c>
      <c r="K36" t="s">
        <v>21</v>
      </c>
      <c r="L36" t="s">
        <v>22</v>
      </c>
      <c r="M36" t="s">
        <v>24</v>
      </c>
      <c r="N36" t="s">
        <v>32</v>
      </c>
      <c r="O36" t="s">
        <v>110</v>
      </c>
      <c r="P36" t="s">
        <v>26</v>
      </c>
    </row>
    <row r="37" spans="1:16" x14ac:dyDescent="0.3">
      <c r="A37" t="s">
        <v>111</v>
      </c>
      <c r="B37">
        <v>48</v>
      </c>
      <c r="C37" t="s">
        <v>17</v>
      </c>
      <c r="D37" t="s">
        <v>28</v>
      </c>
      <c r="E37">
        <v>135710</v>
      </c>
      <c r="F37" t="s">
        <v>43</v>
      </c>
      <c r="G37">
        <v>4</v>
      </c>
      <c r="H37">
        <v>1543</v>
      </c>
      <c r="I37">
        <v>6172</v>
      </c>
      <c r="J37" t="s">
        <v>48</v>
      </c>
      <c r="K37" t="s">
        <v>30</v>
      </c>
      <c r="L37" t="s">
        <v>22</v>
      </c>
      <c r="M37" t="s">
        <v>32</v>
      </c>
      <c r="N37" t="s">
        <v>23</v>
      </c>
      <c r="O37" t="s">
        <v>76</v>
      </c>
      <c r="P37" t="s">
        <v>46</v>
      </c>
    </row>
    <row r="38" spans="1:16" x14ac:dyDescent="0.3">
      <c r="A38" t="s">
        <v>112</v>
      </c>
      <c r="B38">
        <v>28</v>
      </c>
      <c r="C38" t="s">
        <v>35</v>
      </c>
      <c r="D38" t="s">
        <v>28</v>
      </c>
      <c r="E38">
        <v>70538</v>
      </c>
      <c r="F38" t="s">
        <v>29</v>
      </c>
      <c r="G38">
        <v>6</v>
      </c>
      <c r="H38">
        <v>3052</v>
      </c>
      <c r="I38">
        <v>18312</v>
      </c>
      <c r="J38" t="s">
        <v>56</v>
      </c>
      <c r="K38" t="s">
        <v>30</v>
      </c>
      <c r="L38" t="s">
        <v>22</v>
      </c>
      <c r="M38" t="s">
        <v>24</v>
      </c>
      <c r="N38" t="s">
        <v>23</v>
      </c>
      <c r="O38" t="s">
        <v>113</v>
      </c>
      <c r="P38" t="s">
        <v>40</v>
      </c>
    </row>
    <row r="39" spans="1:16" x14ac:dyDescent="0.3">
      <c r="A39" t="s">
        <v>114</v>
      </c>
      <c r="B39">
        <v>47</v>
      </c>
      <c r="C39" t="s">
        <v>35</v>
      </c>
      <c r="D39" t="s">
        <v>42</v>
      </c>
      <c r="E39">
        <v>128059</v>
      </c>
      <c r="F39" t="s">
        <v>37</v>
      </c>
      <c r="G39">
        <v>5</v>
      </c>
      <c r="H39">
        <v>2770</v>
      </c>
      <c r="I39">
        <v>13850</v>
      </c>
      <c r="J39" t="s">
        <v>20</v>
      </c>
      <c r="K39" t="s">
        <v>30</v>
      </c>
      <c r="L39" t="s">
        <v>22</v>
      </c>
      <c r="M39" t="s">
        <v>32</v>
      </c>
      <c r="N39" t="s">
        <v>32</v>
      </c>
      <c r="O39" t="s">
        <v>45</v>
      </c>
      <c r="P39" t="s">
        <v>26</v>
      </c>
    </row>
    <row r="40" spans="1:16" x14ac:dyDescent="0.3">
      <c r="A40" t="s">
        <v>115</v>
      </c>
      <c r="B40">
        <v>48</v>
      </c>
      <c r="C40" t="s">
        <v>35</v>
      </c>
      <c r="D40" t="s">
        <v>73</v>
      </c>
      <c r="E40">
        <v>87905</v>
      </c>
      <c r="F40" t="s">
        <v>55</v>
      </c>
      <c r="G40">
        <v>1</v>
      </c>
      <c r="H40">
        <v>1744</v>
      </c>
      <c r="I40">
        <v>1744</v>
      </c>
      <c r="J40" t="s">
        <v>48</v>
      </c>
      <c r="K40" t="s">
        <v>30</v>
      </c>
      <c r="L40" t="s">
        <v>31</v>
      </c>
      <c r="M40" t="s">
        <v>24</v>
      </c>
      <c r="N40" t="s">
        <v>32</v>
      </c>
      <c r="O40" t="s">
        <v>116</v>
      </c>
      <c r="P40" t="s">
        <v>26</v>
      </c>
    </row>
    <row r="41" spans="1:16" x14ac:dyDescent="0.3">
      <c r="A41" t="s">
        <v>117</v>
      </c>
      <c r="B41">
        <v>42</v>
      </c>
      <c r="C41" t="s">
        <v>17</v>
      </c>
      <c r="D41" t="s">
        <v>18</v>
      </c>
      <c r="E41">
        <v>118184</v>
      </c>
      <c r="F41" t="s">
        <v>59</v>
      </c>
      <c r="G41">
        <v>2</v>
      </c>
      <c r="H41">
        <v>1662</v>
      </c>
      <c r="I41">
        <v>3324</v>
      </c>
      <c r="J41" t="s">
        <v>48</v>
      </c>
      <c r="K41" t="s">
        <v>21</v>
      </c>
      <c r="L41" t="s">
        <v>31</v>
      </c>
      <c r="M41" t="s">
        <v>23</v>
      </c>
      <c r="N41" t="s">
        <v>23</v>
      </c>
      <c r="O41" t="s">
        <v>118</v>
      </c>
      <c r="P41" t="s">
        <v>46</v>
      </c>
    </row>
    <row r="42" spans="1:16" x14ac:dyDescent="0.3">
      <c r="A42" t="s">
        <v>119</v>
      </c>
      <c r="B42">
        <v>25</v>
      </c>
      <c r="C42" t="s">
        <v>35</v>
      </c>
      <c r="D42" t="s">
        <v>73</v>
      </c>
      <c r="E42">
        <v>146147</v>
      </c>
      <c r="F42" t="s">
        <v>29</v>
      </c>
      <c r="G42">
        <v>1</v>
      </c>
      <c r="H42">
        <v>1502</v>
      </c>
      <c r="I42">
        <v>1502</v>
      </c>
      <c r="J42" t="s">
        <v>20</v>
      </c>
      <c r="K42" t="s">
        <v>21</v>
      </c>
      <c r="L42" t="s">
        <v>22</v>
      </c>
      <c r="M42" t="s">
        <v>24</v>
      </c>
      <c r="N42" t="s">
        <v>23</v>
      </c>
      <c r="O42" t="s">
        <v>120</v>
      </c>
      <c r="P42" t="s">
        <v>46</v>
      </c>
    </row>
    <row r="43" spans="1:16" x14ac:dyDescent="0.3">
      <c r="A43" t="s">
        <v>121</v>
      </c>
      <c r="B43">
        <v>21</v>
      </c>
      <c r="C43" t="s">
        <v>17</v>
      </c>
      <c r="D43" t="s">
        <v>73</v>
      </c>
      <c r="E43">
        <v>58683</v>
      </c>
      <c r="F43" t="s">
        <v>37</v>
      </c>
      <c r="G43">
        <v>7</v>
      </c>
      <c r="H43">
        <v>1499</v>
      </c>
      <c r="I43">
        <v>10493</v>
      </c>
      <c r="J43" t="s">
        <v>20</v>
      </c>
      <c r="K43" t="s">
        <v>30</v>
      </c>
      <c r="L43" t="s">
        <v>31</v>
      </c>
      <c r="M43" t="s">
        <v>32</v>
      </c>
      <c r="N43" t="s">
        <v>23</v>
      </c>
      <c r="O43" t="s">
        <v>122</v>
      </c>
      <c r="P43" t="s">
        <v>46</v>
      </c>
    </row>
    <row r="44" spans="1:16" x14ac:dyDescent="0.3">
      <c r="A44" t="s">
        <v>123</v>
      </c>
      <c r="B44">
        <v>29</v>
      </c>
      <c r="C44" t="s">
        <v>35</v>
      </c>
      <c r="D44" t="s">
        <v>42</v>
      </c>
      <c r="E44">
        <v>99616</v>
      </c>
      <c r="F44" t="s">
        <v>43</v>
      </c>
      <c r="G44">
        <v>4</v>
      </c>
      <c r="H44">
        <v>3974</v>
      </c>
      <c r="I44">
        <v>15896</v>
      </c>
      <c r="J44" t="s">
        <v>20</v>
      </c>
      <c r="K44" t="s">
        <v>30</v>
      </c>
      <c r="L44" t="s">
        <v>22</v>
      </c>
      <c r="M44" t="s">
        <v>32</v>
      </c>
      <c r="N44" t="s">
        <v>24</v>
      </c>
      <c r="O44" t="s">
        <v>94</v>
      </c>
      <c r="P44" t="s">
        <v>40</v>
      </c>
    </row>
    <row r="45" spans="1:16" x14ac:dyDescent="0.3">
      <c r="A45" t="s">
        <v>124</v>
      </c>
      <c r="B45">
        <v>31</v>
      </c>
      <c r="C45" t="s">
        <v>35</v>
      </c>
      <c r="D45" t="s">
        <v>73</v>
      </c>
      <c r="E45">
        <v>63972</v>
      </c>
      <c r="F45" t="s">
        <v>37</v>
      </c>
      <c r="G45">
        <v>7</v>
      </c>
      <c r="H45">
        <v>3902</v>
      </c>
      <c r="I45">
        <v>27314</v>
      </c>
      <c r="J45" t="s">
        <v>38</v>
      </c>
      <c r="K45" t="s">
        <v>30</v>
      </c>
      <c r="L45" t="s">
        <v>31</v>
      </c>
      <c r="M45" t="s">
        <v>23</v>
      </c>
      <c r="N45" t="s">
        <v>24</v>
      </c>
      <c r="O45" t="s">
        <v>106</v>
      </c>
      <c r="P45" t="s">
        <v>40</v>
      </c>
    </row>
    <row r="46" spans="1:16" x14ac:dyDescent="0.3">
      <c r="A46" t="s">
        <v>125</v>
      </c>
      <c r="B46">
        <v>36</v>
      </c>
      <c r="C46" t="s">
        <v>35</v>
      </c>
      <c r="D46" t="s">
        <v>36</v>
      </c>
      <c r="E46">
        <v>71904</v>
      </c>
      <c r="F46" t="s">
        <v>43</v>
      </c>
      <c r="G46">
        <v>8</v>
      </c>
      <c r="H46">
        <v>817</v>
      </c>
      <c r="I46">
        <v>6536</v>
      </c>
      <c r="J46" t="s">
        <v>44</v>
      </c>
      <c r="K46" t="s">
        <v>21</v>
      </c>
      <c r="L46" t="s">
        <v>31</v>
      </c>
      <c r="M46" t="s">
        <v>23</v>
      </c>
      <c r="N46" t="s">
        <v>24</v>
      </c>
      <c r="O46" t="s">
        <v>49</v>
      </c>
      <c r="P46" t="s">
        <v>61</v>
      </c>
    </row>
    <row r="47" spans="1:16" x14ac:dyDescent="0.3">
      <c r="A47" t="s">
        <v>126</v>
      </c>
      <c r="B47">
        <v>34</v>
      </c>
      <c r="C47" t="s">
        <v>17</v>
      </c>
      <c r="D47" t="s">
        <v>73</v>
      </c>
      <c r="E47">
        <v>83424</v>
      </c>
      <c r="F47" t="s">
        <v>59</v>
      </c>
      <c r="G47">
        <v>7</v>
      </c>
      <c r="H47">
        <v>3342</v>
      </c>
      <c r="I47">
        <v>23394</v>
      </c>
      <c r="J47" t="s">
        <v>20</v>
      </c>
      <c r="K47" t="s">
        <v>30</v>
      </c>
      <c r="L47" t="s">
        <v>22</v>
      </c>
      <c r="M47" t="s">
        <v>32</v>
      </c>
      <c r="N47" t="s">
        <v>23</v>
      </c>
      <c r="O47" t="s">
        <v>86</v>
      </c>
      <c r="P47" t="s">
        <v>40</v>
      </c>
    </row>
    <row r="48" spans="1:16" x14ac:dyDescent="0.3">
      <c r="A48" t="s">
        <v>127</v>
      </c>
      <c r="B48">
        <v>22</v>
      </c>
      <c r="C48" t="s">
        <v>35</v>
      </c>
      <c r="D48" t="s">
        <v>73</v>
      </c>
      <c r="E48">
        <v>30772</v>
      </c>
      <c r="F48" t="s">
        <v>59</v>
      </c>
      <c r="G48">
        <v>4</v>
      </c>
      <c r="H48">
        <v>3911</v>
      </c>
      <c r="I48">
        <v>15644</v>
      </c>
      <c r="J48" t="s">
        <v>38</v>
      </c>
      <c r="K48" t="s">
        <v>30</v>
      </c>
      <c r="L48" t="s">
        <v>22</v>
      </c>
      <c r="M48" t="s">
        <v>24</v>
      </c>
      <c r="N48" t="s">
        <v>24</v>
      </c>
      <c r="O48" t="s">
        <v>51</v>
      </c>
      <c r="P48" t="s">
        <v>40</v>
      </c>
    </row>
    <row r="49" spans="1:16" x14ac:dyDescent="0.3">
      <c r="A49" t="s">
        <v>128</v>
      </c>
      <c r="B49">
        <v>48</v>
      </c>
      <c r="C49" t="s">
        <v>35</v>
      </c>
      <c r="D49" t="s">
        <v>68</v>
      </c>
      <c r="E49">
        <v>80968</v>
      </c>
      <c r="F49" t="s">
        <v>59</v>
      </c>
      <c r="G49">
        <v>4</v>
      </c>
      <c r="H49">
        <v>2499</v>
      </c>
      <c r="I49">
        <v>9996</v>
      </c>
      <c r="J49" t="s">
        <v>56</v>
      </c>
      <c r="K49" t="s">
        <v>21</v>
      </c>
      <c r="L49" t="s">
        <v>22</v>
      </c>
      <c r="M49" t="s">
        <v>32</v>
      </c>
      <c r="N49" t="s">
        <v>24</v>
      </c>
      <c r="O49" t="s">
        <v>129</v>
      </c>
      <c r="P49" t="s">
        <v>26</v>
      </c>
    </row>
    <row r="50" spans="1:16" x14ac:dyDescent="0.3">
      <c r="A50" t="s">
        <v>130</v>
      </c>
      <c r="B50">
        <v>22</v>
      </c>
      <c r="C50" t="s">
        <v>17</v>
      </c>
      <c r="D50" t="s">
        <v>42</v>
      </c>
      <c r="E50">
        <v>86179</v>
      </c>
      <c r="F50" t="s">
        <v>37</v>
      </c>
      <c r="G50">
        <v>1</v>
      </c>
      <c r="H50">
        <v>2113</v>
      </c>
      <c r="I50">
        <v>2113</v>
      </c>
      <c r="J50" t="s">
        <v>56</v>
      </c>
      <c r="K50" t="s">
        <v>21</v>
      </c>
      <c r="L50" t="s">
        <v>31</v>
      </c>
      <c r="M50" t="s">
        <v>23</v>
      </c>
      <c r="N50" t="s">
        <v>23</v>
      </c>
      <c r="O50" t="s">
        <v>108</v>
      </c>
      <c r="P50" t="s">
        <v>46</v>
      </c>
    </row>
    <row r="51" spans="1:16" x14ac:dyDescent="0.3">
      <c r="A51" t="s">
        <v>131</v>
      </c>
      <c r="B51">
        <v>41</v>
      </c>
      <c r="C51" t="s">
        <v>35</v>
      </c>
      <c r="D51" t="s">
        <v>73</v>
      </c>
      <c r="E51">
        <v>66471</v>
      </c>
      <c r="F51" t="s">
        <v>55</v>
      </c>
      <c r="G51">
        <v>7</v>
      </c>
      <c r="H51">
        <v>1840</v>
      </c>
      <c r="I51">
        <v>12880</v>
      </c>
      <c r="J51" t="s">
        <v>38</v>
      </c>
      <c r="K51" t="s">
        <v>21</v>
      </c>
      <c r="L51" t="s">
        <v>22</v>
      </c>
      <c r="M51" t="s">
        <v>32</v>
      </c>
      <c r="N51" t="s">
        <v>24</v>
      </c>
      <c r="O51" t="s">
        <v>132</v>
      </c>
      <c r="P51" t="s">
        <v>26</v>
      </c>
    </row>
    <row r="52" spans="1:16" x14ac:dyDescent="0.3">
      <c r="A52" t="s">
        <v>133</v>
      </c>
      <c r="B52">
        <v>25</v>
      </c>
      <c r="C52" t="s">
        <v>17</v>
      </c>
      <c r="D52" t="s">
        <v>68</v>
      </c>
      <c r="E52">
        <v>62411</v>
      </c>
      <c r="F52" t="s">
        <v>37</v>
      </c>
      <c r="G52">
        <v>1</v>
      </c>
      <c r="H52">
        <v>1933</v>
      </c>
      <c r="I52">
        <v>1933</v>
      </c>
      <c r="J52" t="s">
        <v>44</v>
      </c>
      <c r="K52" t="s">
        <v>21</v>
      </c>
      <c r="L52" t="s">
        <v>31</v>
      </c>
      <c r="M52" t="s">
        <v>32</v>
      </c>
      <c r="N52" t="s">
        <v>23</v>
      </c>
      <c r="O52" t="s">
        <v>129</v>
      </c>
      <c r="P52" t="s">
        <v>46</v>
      </c>
    </row>
    <row r="53" spans="1:16" x14ac:dyDescent="0.3">
      <c r="A53" t="s">
        <v>134</v>
      </c>
      <c r="B53">
        <v>34</v>
      </c>
      <c r="C53" t="s">
        <v>35</v>
      </c>
      <c r="D53" t="s">
        <v>42</v>
      </c>
      <c r="E53">
        <v>63586</v>
      </c>
      <c r="F53" t="s">
        <v>59</v>
      </c>
      <c r="G53">
        <v>8</v>
      </c>
      <c r="H53">
        <v>3242</v>
      </c>
      <c r="I53">
        <v>25936</v>
      </c>
      <c r="J53" t="s">
        <v>48</v>
      </c>
      <c r="K53" t="s">
        <v>21</v>
      </c>
      <c r="L53" t="s">
        <v>31</v>
      </c>
      <c r="M53" t="s">
        <v>32</v>
      </c>
      <c r="N53" t="s">
        <v>23</v>
      </c>
      <c r="O53" t="s">
        <v>135</v>
      </c>
      <c r="P53" t="s">
        <v>40</v>
      </c>
    </row>
    <row r="54" spans="1:16" x14ac:dyDescent="0.3">
      <c r="A54" t="s">
        <v>136</v>
      </c>
      <c r="B54">
        <v>45</v>
      </c>
      <c r="C54" t="s">
        <v>35</v>
      </c>
      <c r="D54" t="s">
        <v>42</v>
      </c>
      <c r="E54">
        <v>55995</v>
      </c>
      <c r="F54" t="s">
        <v>19</v>
      </c>
      <c r="G54">
        <v>2</v>
      </c>
      <c r="H54">
        <v>2870</v>
      </c>
      <c r="I54">
        <v>5740</v>
      </c>
      <c r="J54" t="s">
        <v>20</v>
      </c>
      <c r="K54" t="s">
        <v>21</v>
      </c>
      <c r="L54" t="s">
        <v>31</v>
      </c>
      <c r="M54" t="s">
        <v>32</v>
      </c>
      <c r="N54" t="s">
        <v>24</v>
      </c>
      <c r="O54" t="s">
        <v>113</v>
      </c>
      <c r="P54" t="s">
        <v>26</v>
      </c>
    </row>
    <row r="55" spans="1:16" x14ac:dyDescent="0.3">
      <c r="A55" t="s">
        <v>137</v>
      </c>
      <c r="B55">
        <v>28</v>
      </c>
      <c r="C55" t="s">
        <v>17</v>
      </c>
      <c r="D55" t="s">
        <v>36</v>
      </c>
      <c r="E55">
        <v>99827</v>
      </c>
      <c r="F55" t="s">
        <v>55</v>
      </c>
      <c r="G55">
        <v>5</v>
      </c>
      <c r="H55">
        <v>3982</v>
      </c>
      <c r="I55">
        <v>19910</v>
      </c>
      <c r="J55" t="s">
        <v>38</v>
      </c>
      <c r="K55" t="s">
        <v>21</v>
      </c>
      <c r="L55" t="s">
        <v>22</v>
      </c>
      <c r="M55" t="s">
        <v>23</v>
      </c>
      <c r="N55" t="s">
        <v>23</v>
      </c>
      <c r="O55" t="s">
        <v>138</v>
      </c>
      <c r="P55" t="s">
        <v>40</v>
      </c>
    </row>
    <row r="56" spans="1:16" x14ac:dyDescent="0.3">
      <c r="A56" t="s">
        <v>139</v>
      </c>
      <c r="B56">
        <v>48</v>
      </c>
      <c r="C56" t="s">
        <v>35</v>
      </c>
      <c r="D56" t="s">
        <v>42</v>
      </c>
      <c r="E56">
        <v>146860</v>
      </c>
      <c r="F56" t="s">
        <v>55</v>
      </c>
      <c r="G56">
        <v>7</v>
      </c>
      <c r="H56">
        <v>3868</v>
      </c>
      <c r="I56">
        <v>27076</v>
      </c>
      <c r="J56" t="s">
        <v>48</v>
      </c>
      <c r="K56" t="s">
        <v>30</v>
      </c>
      <c r="L56" t="s">
        <v>31</v>
      </c>
      <c r="M56" t="s">
        <v>24</v>
      </c>
      <c r="N56" t="s">
        <v>32</v>
      </c>
      <c r="O56" t="s">
        <v>140</v>
      </c>
      <c r="P56" t="s">
        <v>40</v>
      </c>
    </row>
    <row r="57" spans="1:16" x14ac:dyDescent="0.3">
      <c r="A57" t="s">
        <v>141</v>
      </c>
      <c r="B57">
        <v>50</v>
      </c>
      <c r="C57" t="s">
        <v>35</v>
      </c>
      <c r="D57" t="s">
        <v>42</v>
      </c>
      <c r="E57">
        <v>107656</v>
      </c>
      <c r="F57" t="s">
        <v>59</v>
      </c>
      <c r="G57">
        <v>5</v>
      </c>
      <c r="H57">
        <v>3022</v>
      </c>
      <c r="I57">
        <v>15110</v>
      </c>
      <c r="J57" t="s">
        <v>38</v>
      </c>
      <c r="K57" t="s">
        <v>21</v>
      </c>
      <c r="L57" t="s">
        <v>31</v>
      </c>
      <c r="M57" t="s">
        <v>23</v>
      </c>
      <c r="N57" t="s">
        <v>24</v>
      </c>
      <c r="O57" t="s">
        <v>106</v>
      </c>
      <c r="P57" t="s">
        <v>40</v>
      </c>
    </row>
    <row r="58" spans="1:16" x14ac:dyDescent="0.3">
      <c r="A58" t="s">
        <v>142</v>
      </c>
      <c r="B58">
        <v>45</v>
      </c>
      <c r="C58" t="s">
        <v>35</v>
      </c>
      <c r="D58" t="s">
        <v>68</v>
      </c>
      <c r="E58">
        <v>94789</v>
      </c>
      <c r="F58" t="s">
        <v>59</v>
      </c>
      <c r="G58">
        <v>8</v>
      </c>
      <c r="H58">
        <v>1498</v>
      </c>
      <c r="I58">
        <v>11984</v>
      </c>
      <c r="J58" t="s">
        <v>48</v>
      </c>
      <c r="K58" t="s">
        <v>30</v>
      </c>
      <c r="L58" t="s">
        <v>31</v>
      </c>
      <c r="M58" t="s">
        <v>24</v>
      </c>
      <c r="N58" t="s">
        <v>23</v>
      </c>
      <c r="O58" t="s">
        <v>143</v>
      </c>
      <c r="P58" t="s">
        <v>46</v>
      </c>
    </row>
    <row r="59" spans="1:16" x14ac:dyDescent="0.3">
      <c r="A59" t="s">
        <v>144</v>
      </c>
      <c r="B59">
        <v>38</v>
      </c>
      <c r="C59" t="s">
        <v>17</v>
      </c>
      <c r="D59" t="s">
        <v>28</v>
      </c>
      <c r="E59">
        <v>55042</v>
      </c>
      <c r="F59" t="s">
        <v>19</v>
      </c>
      <c r="G59">
        <v>5</v>
      </c>
      <c r="H59">
        <v>1894</v>
      </c>
      <c r="I59">
        <v>9470</v>
      </c>
      <c r="J59" t="s">
        <v>48</v>
      </c>
      <c r="K59" t="s">
        <v>30</v>
      </c>
      <c r="L59" t="s">
        <v>22</v>
      </c>
      <c r="M59" t="s">
        <v>24</v>
      </c>
      <c r="N59" t="s">
        <v>23</v>
      </c>
      <c r="O59" t="s">
        <v>122</v>
      </c>
      <c r="P59" t="s">
        <v>46</v>
      </c>
    </row>
    <row r="60" spans="1:16" x14ac:dyDescent="0.3">
      <c r="A60" t="s">
        <v>145</v>
      </c>
      <c r="B60">
        <v>52</v>
      </c>
      <c r="C60" t="s">
        <v>35</v>
      </c>
      <c r="D60" t="s">
        <v>68</v>
      </c>
      <c r="E60">
        <v>42196</v>
      </c>
      <c r="F60" t="s">
        <v>59</v>
      </c>
      <c r="G60">
        <v>4</v>
      </c>
      <c r="H60">
        <v>3328</v>
      </c>
      <c r="I60">
        <v>13312</v>
      </c>
      <c r="J60" t="s">
        <v>48</v>
      </c>
      <c r="K60" t="s">
        <v>30</v>
      </c>
      <c r="L60" t="s">
        <v>31</v>
      </c>
      <c r="M60" t="s">
        <v>24</v>
      </c>
      <c r="N60" t="s">
        <v>23</v>
      </c>
      <c r="O60" t="s">
        <v>135</v>
      </c>
      <c r="P60" t="s">
        <v>46</v>
      </c>
    </row>
    <row r="61" spans="1:16" x14ac:dyDescent="0.3">
      <c r="A61" t="s">
        <v>146</v>
      </c>
      <c r="B61">
        <v>43</v>
      </c>
      <c r="C61" t="s">
        <v>35</v>
      </c>
      <c r="D61" t="s">
        <v>42</v>
      </c>
      <c r="E61">
        <v>102140</v>
      </c>
      <c r="F61" t="s">
        <v>59</v>
      </c>
      <c r="G61">
        <v>6</v>
      </c>
      <c r="H61">
        <v>2438</v>
      </c>
      <c r="I61">
        <v>14628</v>
      </c>
      <c r="J61" t="s">
        <v>38</v>
      </c>
      <c r="K61" t="s">
        <v>30</v>
      </c>
      <c r="L61" t="s">
        <v>22</v>
      </c>
      <c r="M61" t="s">
        <v>23</v>
      </c>
      <c r="N61" t="s">
        <v>23</v>
      </c>
      <c r="O61" t="s">
        <v>135</v>
      </c>
      <c r="P61" t="s">
        <v>61</v>
      </c>
    </row>
    <row r="62" spans="1:16" x14ac:dyDescent="0.3">
      <c r="A62" t="s">
        <v>147</v>
      </c>
      <c r="B62">
        <v>33</v>
      </c>
      <c r="C62" t="s">
        <v>35</v>
      </c>
      <c r="D62" t="s">
        <v>68</v>
      </c>
      <c r="E62">
        <v>127370</v>
      </c>
      <c r="F62" t="s">
        <v>43</v>
      </c>
      <c r="G62">
        <v>5</v>
      </c>
      <c r="H62">
        <v>1444</v>
      </c>
      <c r="I62">
        <v>7220</v>
      </c>
      <c r="J62" t="s">
        <v>48</v>
      </c>
      <c r="K62" t="s">
        <v>21</v>
      </c>
      <c r="L62" t="s">
        <v>31</v>
      </c>
      <c r="M62" t="s">
        <v>32</v>
      </c>
      <c r="N62" t="s">
        <v>23</v>
      </c>
      <c r="O62" t="s">
        <v>148</v>
      </c>
      <c r="P62" t="s">
        <v>46</v>
      </c>
    </row>
    <row r="63" spans="1:16" x14ac:dyDescent="0.3">
      <c r="A63" t="s">
        <v>149</v>
      </c>
      <c r="B63">
        <v>39</v>
      </c>
      <c r="C63" t="s">
        <v>17</v>
      </c>
      <c r="D63" t="s">
        <v>18</v>
      </c>
      <c r="E63">
        <v>68829</v>
      </c>
      <c r="F63" t="s">
        <v>37</v>
      </c>
      <c r="G63">
        <v>5</v>
      </c>
      <c r="H63">
        <v>3467</v>
      </c>
      <c r="I63">
        <v>17335</v>
      </c>
      <c r="J63" t="s">
        <v>38</v>
      </c>
      <c r="K63" t="s">
        <v>21</v>
      </c>
      <c r="L63" t="s">
        <v>22</v>
      </c>
      <c r="M63" t="s">
        <v>23</v>
      </c>
      <c r="N63" t="s">
        <v>23</v>
      </c>
      <c r="O63" t="s">
        <v>138</v>
      </c>
      <c r="P63" t="s">
        <v>40</v>
      </c>
    </row>
    <row r="64" spans="1:16" x14ac:dyDescent="0.3">
      <c r="A64" t="s">
        <v>150</v>
      </c>
      <c r="B64">
        <v>39</v>
      </c>
      <c r="C64" t="s">
        <v>17</v>
      </c>
      <c r="D64" t="s">
        <v>42</v>
      </c>
      <c r="E64">
        <v>143830</v>
      </c>
      <c r="F64" t="s">
        <v>55</v>
      </c>
      <c r="G64">
        <v>3</v>
      </c>
      <c r="H64">
        <v>1623</v>
      </c>
      <c r="I64">
        <v>4869</v>
      </c>
      <c r="J64" t="s">
        <v>44</v>
      </c>
      <c r="K64" t="s">
        <v>21</v>
      </c>
      <c r="L64" t="s">
        <v>22</v>
      </c>
      <c r="M64" t="s">
        <v>32</v>
      </c>
      <c r="N64" t="s">
        <v>32</v>
      </c>
      <c r="O64" t="s">
        <v>104</v>
      </c>
      <c r="P64" t="s">
        <v>26</v>
      </c>
    </row>
    <row r="65" spans="1:16" x14ac:dyDescent="0.3">
      <c r="A65" t="s">
        <v>151</v>
      </c>
      <c r="B65">
        <v>24</v>
      </c>
      <c r="C65" t="s">
        <v>35</v>
      </c>
      <c r="D65" t="s">
        <v>73</v>
      </c>
      <c r="E65">
        <v>44953</v>
      </c>
      <c r="F65" t="s">
        <v>19</v>
      </c>
      <c r="G65">
        <v>8</v>
      </c>
      <c r="H65">
        <v>2304</v>
      </c>
      <c r="I65">
        <v>18432</v>
      </c>
      <c r="J65" t="s">
        <v>56</v>
      </c>
      <c r="K65" t="s">
        <v>30</v>
      </c>
      <c r="L65" t="s">
        <v>31</v>
      </c>
      <c r="M65" t="s">
        <v>24</v>
      </c>
      <c r="N65" t="s">
        <v>32</v>
      </c>
      <c r="O65" t="s">
        <v>110</v>
      </c>
      <c r="P65" t="s">
        <v>40</v>
      </c>
    </row>
    <row r="66" spans="1:16" x14ac:dyDescent="0.3">
      <c r="A66" t="s">
        <v>152</v>
      </c>
      <c r="B66">
        <v>40</v>
      </c>
      <c r="C66" t="s">
        <v>17</v>
      </c>
      <c r="D66" t="s">
        <v>18</v>
      </c>
      <c r="E66">
        <v>45525</v>
      </c>
      <c r="F66" t="s">
        <v>43</v>
      </c>
      <c r="G66">
        <v>1</v>
      </c>
      <c r="H66">
        <v>1121</v>
      </c>
      <c r="I66">
        <v>1121</v>
      </c>
      <c r="J66" t="s">
        <v>56</v>
      </c>
      <c r="K66" t="s">
        <v>21</v>
      </c>
      <c r="L66" t="s">
        <v>22</v>
      </c>
      <c r="M66" t="s">
        <v>32</v>
      </c>
      <c r="N66" t="s">
        <v>23</v>
      </c>
      <c r="O66" t="s">
        <v>33</v>
      </c>
      <c r="P66" t="s">
        <v>46</v>
      </c>
    </row>
    <row r="67" spans="1:16" x14ac:dyDescent="0.3">
      <c r="A67" t="s">
        <v>153</v>
      </c>
      <c r="B67">
        <v>40</v>
      </c>
      <c r="C67" t="s">
        <v>17</v>
      </c>
      <c r="D67" t="s">
        <v>28</v>
      </c>
      <c r="E67">
        <v>127004</v>
      </c>
      <c r="F67" t="s">
        <v>19</v>
      </c>
      <c r="G67">
        <v>8</v>
      </c>
      <c r="H67">
        <v>1717</v>
      </c>
      <c r="I67">
        <v>13736</v>
      </c>
      <c r="J67" t="s">
        <v>48</v>
      </c>
      <c r="K67" t="s">
        <v>21</v>
      </c>
      <c r="L67" t="s">
        <v>22</v>
      </c>
      <c r="M67" t="s">
        <v>23</v>
      </c>
      <c r="N67" t="s">
        <v>24</v>
      </c>
      <c r="O67" t="s">
        <v>116</v>
      </c>
      <c r="P67" t="s">
        <v>61</v>
      </c>
    </row>
    <row r="68" spans="1:16" x14ac:dyDescent="0.3">
      <c r="A68" t="s">
        <v>154</v>
      </c>
      <c r="B68">
        <v>25</v>
      </c>
      <c r="C68" t="s">
        <v>17</v>
      </c>
      <c r="D68" t="s">
        <v>68</v>
      </c>
      <c r="E68">
        <v>83545</v>
      </c>
      <c r="F68" t="s">
        <v>55</v>
      </c>
      <c r="G68">
        <v>2</v>
      </c>
      <c r="H68">
        <v>1143</v>
      </c>
      <c r="I68">
        <v>2286</v>
      </c>
      <c r="J68" t="s">
        <v>20</v>
      </c>
      <c r="K68" t="s">
        <v>30</v>
      </c>
      <c r="L68" t="s">
        <v>22</v>
      </c>
      <c r="M68" t="s">
        <v>32</v>
      </c>
      <c r="N68" t="s">
        <v>32</v>
      </c>
      <c r="O68" t="s">
        <v>25</v>
      </c>
      <c r="P68" t="s">
        <v>26</v>
      </c>
    </row>
    <row r="69" spans="1:16" x14ac:dyDescent="0.3">
      <c r="A69" t="s">
        <v>155</v>
      </c>
      <c r="B69">
        <v>50</v>
      </c>
      <c r="C69" t="s">
        <v>17</v>
      </c>
      <c r="D69" t="s">
        <v>42</v>
      </c>
      <c r="E69">
        <v>60595</v>
      </c>
      <c r="F69" t="s">
        <v>59</v>
      </c>
      <c r="G69">
        <v>4</v>
      </c>
      <c r="H69">
        <v>1680</v>
      </c>
      <c r="I69">
        <v>6720</v>
      </c>
      <c r="J69" t="s">
        <v>20</v>
      </c>
      <c r="K69" t="s">
        <v>21</v>
      </c>
      <c r="L69" t="s">
        <v>22</v>
      </c>
      <c r="M69" t="s">
        <v>23</v>
      </c>
      <c r="N69" t="s">
        <v>24</v>
      </c>
      <c r="O69" t="s">
        <v>156</v>
      </c>
      <c r="P69" t="s">
        <v>61</v>
      </c>
    </row>
    <row r="70" spans="1:16" x14ac:dyDescent="0.3">
      <c r="A70" t="s">
        <v>157</v>
      </c>
      <c r="B70">
        <v>30</v>
      </c>
      <c r="C70" t="s">
        <v>17</v>
      </c>
      <c r="D70" t="s">
        <v>68</v>
      </c>
      <c r="E70">
        <v>51747</v>
      </c>
      <c r="F70" t="s">
        <v>59</v>
      </c>
      <c r="G70">
        <v>4</v>
      </c>
      <c r="H70">
        <v>3152</v>
      </c>
      <c r="I70">
        <v>12608</v>
      </c>
      <c r="J70" t="s">
        <v>20</v>
      </c>
      <c r="K70" t="s">
        <v>30</v>
      </c>
      <c r="L70" t="s">
        <v>22</v>
      </c>
      <c r="M70" t="s">
        <v>32</v>
      </c>
      <c r="N70" t="s">
        <v>24</v>
      </c>
      <c r="O70" t="s">
        <v>74</v>
      </c>
      <c r="P70" t="s">
        <v>26</v>
      </c>
    </row>
    <row r="71" spans="1:16" x14ac:dyDescent="0.3">
      <c r="A71" t="s">
        <v>158</v>
      </c>
      <c r="B71">
        <v>46</v>
      </c>
      <c r="C71" t="s">
        <v>35</v>
      </c>
      <c r="D71" t="s">
        <v>28</v>
      </c>
      <c r="E71">
        <v>100776</v>
      </c>
      <c r="F71" t="s">
        <v>55</v>
      </c>
      <c r="G71">
        <v>8</v>
      </c>
      <c r="H71">
        <v>3320</v>
      </c>
      <c r="I71">
        <v>26560</v>
      </c>
      <c r="J71" t="s">
        <v>56</v>
      </c>
      <c r="K71" t="s">
        <v>21</v>
      </c>
      <c r="L71" t="s">
        <v>31</v>
      </c>
      <c r="M71" t="s">
        <v>24</v>
      </c>
      <c r="N71" t="s">
        <v>23</v>
      </c>
      <c r="O71" t="s">
        <v>159</v>
      </c>
      <c r="P71" t="s">
        <v>40</v>
      </c>
    </row>
    <row r="72" spans="1:16" x14ac:dyDescent="0.3">
      <c r="A72" t="s">
        <v>160</v>
      </c>
      <c r="B72">
        <v>26</v>
      </c>
      <c r="C72" t="s">
        <v>17</v>
      </c>
      <c r="D72" t="s">
        <v>42</v>
      </c>
      <c r="E72">
        <v>139570</v>
      </c>
      <c r="F72" t="s">
        <v>43</v>
      </c>
      <c r="G72">
        <v>6</v>
      </c>
      <c r="H72">
        <v>2972</v>
      </c>
      <c r="I72">
        <v>17832</v>
      </c>
      <c r="J72" t="s">
        <v>20</v>
      </c>
      <c r="K72" t="s">
        <v>21</v>
      </c>
      <c r="L72" t="s">
        <v>22</v>
      </c>
      <c r="M72" t="s">
        <v>24</v>
      </c>
      <c r="N72" t="s">
        <v>32</v>
      </c>
      <c r="O72" t="s">
        <v>110</v>
      </c>
      <c r="P72" t="s">
        <v>40</v>
      </c>
    </row>
    <row r="73" spans="1:16" x14ac:dyDescent="0.3">
      <c r="A73" t="s">
        <v>161</v>
      </c>
      <c r="B73">
        <v>54</v>
      </c>
      <c r="C73" t="s">
        <v>35</v>
      </c>
      <c r="D73" t="s">
        <v>36</v>
      </c>
      <c r="E73">
        <v>53788</v>
      </c>
      <c r="F73" t="s">
        <v>43</v>
      </c>
      <c r="G73">
        <v>1</v>
      </c>
      <c r="H73">
        <v>3625</v>
      </c>
      <c r="I73">
        <v>3625</v>
      </c>
      <c r="J73" t="s">
        <v>56</v>
      </c>
      <c r="K73" t="s">
        <v>30</v>
      </c>
      <c r="L73" t="s">
        <v>31</v>
      </c>
      <c r="M73" t="s">
        <v>32</v>
      </c>
      <c r="N73" t="s">
        <v>24</v>
      </c>
      <c r="O73" t="s">
        <v>104</v>
      </c>
      <c r="P73" t="s">
        <v>26</v>
      </c>
    </row>
    <row r="74" spans="1:16" x14ac:dyDescent="0.3">
      <c r="A74" t="s">
        <v>162</v>
      </c>
      <c r="B74">
        <v>27</v>
      </c>
      <c r="C74" t="s">
        <v>17</v>
      </c>
      <c r="D74" t="s">
        <v>36</v>
      </c>
      <c r="E74">
        <v>83955</v>
      </c>
      <c r="F74" t="s">
        <v>29</v>
      </c>
      <c r="G74">
        <v>6</v>
      </c>
      <c r="H74">
        <v>2172</v>
      </c>
      <c r="I74">
        <v>13032</v>
      </c>
      <c r="J74" t="s">
        <v>56</v>
      </c>
      <c r="K74" t="s">
        <v>30</v>
      </c>
      <c r="L74" t="s">
        <v>22</v>
      </c>
      <c r="M74" t="s">
        <v>24</v>
      </c>
      <c r="N74" t="s">
        <v>24</v>
      </c>
      <c r="O74" t="s">
        <v>45</v>
      </c>
      <c r="P74" t="s">
        <v>26</v>
      </c>
    </row>
    <row r="75" spans="1:16" x14ac:dyDescent="0.3">
      <c r="A75" t="s">
        <v>163</v>
      </c>
      <c r="B75">
        <v>37</v>
      </c>
      <c r="C75" t="s">
        <v>35</v>
      </c>
      <c r="D75" t="s">
        <v>68</v>
      </c>
      <c r="E75">
        <v>131259</v>
      </c>
      <c r="F75" t="s">
        <v>55</v>
      </c>
      <c r="G75">
        <v>1</v>
      </c>
      <c r="H75">
        <v>2362</v>
      </c>
      <c r="I75">
        <v>2362</v>
      </c>
      <c r="J75" t="s">
        <v>20</v>
      </c>
      <c r="K75" t="s">
        <v>21</v>
      </c>
      <c r="L75" t="s">
        <v>22</v>
      </c>
      <c r="M75" t="s">
        <v>32</v>
      </c>
      <c r="N75" t="s">
        <v>24</v>
      </c>
      <c r="O75" t="s">
        <v>164</v>
      </c>
      <c r="P75" t="s">
        <v>26</v>
      </c>
    </row>
    <row r="76" spans="1:16" x14ac:dyDescent="0.3">
      <c r="A76" t="s">
        <v>165</v>
      </c>
      <c r="B76">
        <v>52</v>
      </c>
      <c r="C76" t="s">
        <v>35</v>
      </c>
      <c r="D76" t="s">
        <v>68</v>
      </c>
      <c r="E76">
        <v>56680</v>
      </c>
      <c r="F76" t="s">
        <v>59</v>
      </c>
      <c r="G76">
        <v>1</v>
      </c>
      <c r="H76">
        <v>1268</v>
      </c>
      <c r="I76">
        <v>1268</v>
      </c>
      <c r="J76" t="s">
        <v>20</v>
      </c>
      <c r="K76" t="s">
        <v>21</v>
      </c>
      <c r="L76" t="s">
        <v>22</v>
      </c>
      <c r="M76" t="s">
        <v>23</v>
      </c>
      <c r="N76" t="s">
        <v>24</v>
      </c>
      <c r="O76" t="s">
        <v>166</v>
      </c>
      <c r="P76" t="s">
        <v>26</v>
      </c>
    </row>
    <row r="77" spans="1:16" x14ac:dyDescent="0.3">
      <c r="A77" t="s">
        <v>167</v>
      </c>
      <c r="B77">
        <v>36</v>
      </c>
      <c r="C77" t="s">
        <v>17</v>
      </c>
      <c r="D77" t="s">
        <v>36</v>
      </c>
      <c r="E77">
        <v>102199</v>
      </c>
      <c r="F77" t="s">
        <v>19</v>
      </c>
      <c r="G77">
        <v>8</v>
      </c>
      <c r="H77">
        <v>997</v>
      </c>
      <c r="I77">
        <v>7976</v>
      </c>
      <c r="J77" t="s">
        <v>20</v>
      </c>
      <c r="K77" t="s">
        <v>30</v>
      </c>
      <c r="L77" t="s">
        <v>31</v>
      </c>
      <c r="M77" t="s">
        <v>32</v>
      </c>
      <c r="N77" t="s">
        <v>23</v>
      </c>
      <c r="O77" t="s">
        <v>168</v>
      </c>
      <c r="P77" t="s">
        <v>46</v>
      </c>
    </row>
    <row r="78" spans="1:16" x14ac:dyDescent="0.3">
      <c r="A78" t="s">
        <v>169</v>
      </c>
      <c r="B78">
        <v>30</v>
      </c>
      <c r="C78" t="s">
        <v>35</v>
      </c>
      <c r="D78" t="s">
        <v>42</v>
      </c>
      <c r="E78">
        <v>68254</v>
      </c>
      <c r="F78" t="s">
        <v>43</v>
      </c>
      <c r="G78">
        <v>2</v>
      </c>
      <c r="H78">
        <v>2390</v>
      </c>
      <c r="I78">
        <v>4780</v>
      </c>
      <c r="J78" t="s">
        <v>38</v>
      </c>
      <c r="K78" t="s">
        <v>30</v>
      </c>
      <c r="L78" t="s">
        <v>22</v>
      </c>
      <c r="M78" t="s">
        <v>32</v>
      </c>
      <c r="N78" t="s">
        <v>23</v>
      </c>
      <c r="O78" t="s">
        <v>104</v>
      </c>
      <c r="P78" t="s">
        <v>46</v>
      </c>
    </row>
    <row r="79" spans="1:16" x14ac:dyDescent="0.3">
      <c r="A79" t="s">
        <v>170</v>
      </c>
      <c r="B79">
        <v>45</v>
      </c>
      <c r="C79" t="s">
        <v>17</v>
      </c>
      <c r="D79" t="s">
        <v>28</v>
      </c>
      <c r="E79">
        <v>96616</v>
      </c>
      <c r="F79" t="s">
        <v>29</v>
      </c>
      <c r="G79">
        <v>4</v>
      </c>
      <c r="H79">
        <v>2370</v>
      </c>
      <c r="I79">
        <v>9480</v>
      </c>
      <c r="J79" t="s">
        <v>48</v>
      </c>
      <c r="K79" t="s">
        <v>21</v>
      </c>
      <c r="L79" t="s">
        <v>22</v>
      </c>
      <c r="M79" t="s">
        <v>23</v>
      </c>
      <c r="N79" t="s">
        <v>32</v>
      </c>
      <c r="O79" t="s">
        <v>171</v>
      </c>
      <c r="P79" t="s">
        <v>61</v>
      </c>
    </row>
    <row r="80" spans="1:16" x14ac:dyDescent="0.3">
      <c r="A80" t="s">
        <v>172</v>
      </c>
      <c r="B80">
        <v>21</v>
      </c>
      <c r="C80" t="s">
        <v>35</v>
      </c>
      <c r="D80" t="s">
        <v>42</v>
      </c>
      <c r="E80">
        <v>69132</v>
      </c>
      <c r="F80" t="s">
        <v>43</v>
      </c>
      <c r="G80">
        <v>6</v>
      </c>
      <c r="H80">
        <v>3726</v>
      </c>
      <c r="I80">
        <v>22356</v>
      </c>
      <c r="J80" t="s">
        <v>20</v>
      </c>
      <c r="K80" t="s">
        <v>30</v>
      </c>
      <c r="L80" t="s">
        <v>31</v>
      </c>
      <c r="M80" t="s">
        <v>23</v>
      </c>
      <c r="N80" t="s">
        <v>24</v>
      </c>
      <c r="O80" t="s">
        <v>33</v>
      </c>
      <c r="P80" t="s">
        <v>40</v>
      </c>
    </row>
    <row r="81" spans="1:16" x14ac:dyDescent="0.3">
      <c r="A81" t="s">
        <v>173</v>
      </c>
      <c r="B81">
        <v>55</v>
      </c>
      <c r="C81" t="s">
        <v>35</v>
      </c>
      <c r="D81" t="s">
        <v>73</v>
      </c>
      <c r="E81">
        <v>72176</v>
      </c>
      <c r="F81" t="s">
        <v>37</v>
      </c>
      <c r="G81">
        <v>8</v>
      </c>
      <c r="H81">
        <v>1913</v>
      </c>
      <c r="I81">
        <v>15304</v>
      </c>
      <c r="J81" t="s">
        <v>48</v>
      </c>
      <c r="K81" t="s">
        <v>30</v>
      </c>
      <c r="L81" t="s">
        <v>31</v>
      </c>
      <c r="M81" t="s">
        <v>24</v>
      </c>
      <c r="N81" t="s">
        <v>23</v>
      </c>
      <c r="O81" t="s">
        <v>164</v>
      </c>
      <c r="P81" t="s">
        <v>40</v>
      </c>
    </row>
    <row r="82" spans="1:16" x14ac:dyDescent="0.3">
      <c r="A82" t="s">
        <v>174</v>
      </c>
      <c r="B82">
        <v>45</v>
      </c>
      <c r="C82" t="s">
        <v>35</v>
      </c>
      <c r="D82" t="s">
        <v>42</v>
      </c>
      <c r="E82">
        <v>133860</v>
      </c>
      <c r="F82" t="s">
        <v>29</v>
      </c>
      <c r="G82">
        <v>1</v>
      </c>
      <c r="H82">
        <v>1803</v>
      </c>
      <c r="I82">
        <v>1803</v>
      </c>
      <c r="J82" t="s">
        <v>48</v>
      </c>
      <c r="K82" t="s">
        <v>30</v>
      </c>
      <c r="L82" t="s">
        <v>31</v>
      </c>
      <c r="M82" t="s">
        <v>23</v>
      </c>
      <c r="N82" t="s">
        <v>24</v>
      </c>
      <c r="O82" t="s">
        <v>129</v>
      </c>
      <c r="P82" t="s">
        <v>26</v>
      </c>
    </row>
    <row r="83" spans="1:16" x14ac:dyDescent="0.3">
      <c r="A83" t="s">
        <v>175</v>
      </c>
      <c r="B83">
        <v>54</v>
      </c>
      <c r="C83" t="s">
        <v>35</v>
      </c>
      <c r="D83" t="s">
        <v>68</v>
      </c>
      <c r="E83">
        <v>124692</v>
      </c>
      <c r="F83" t="s">
        <v>37</v>
      </c>
      <c r="G83">
        <v>6</v>
      </c>
      <c r="H83">
        <v>911</v>
      </c>
      <c r="I83">
        <v>5466</v>
      </c>
      <c r="J83" t="s">
        <v>56</v>
      </c>
      <c r="K83" t="s">
        <v>21</v>
      </c>
      <c r="L83" t="s">
        <v>31</v>
      </c>
      <c r="M83" t="s">
        <v>24</v>
      </c>
      <c r="N83" t="s">
        <v>32</v>
      </c>
      <c r="O83" t="s">
        <v>104</v>
      </c>
      <c r="P83" t="s">
        <v>26</v>
      </c>
    </row>
    <row r="84" spans="1:16" x14ac:dyDescent="0.3">
      <c r="A84" t="s">
        <v>176</v>
      </c>
      <c r="B84">
        <v>46</v>
      </c>
      <c r="C84" t="s">
        <v>17</v>
      </c>
      <c r="D84" t="s">
        <v>36</v>
      </c>
      <c r="E84">
        <v>141718</v>
      </c>
      <c r="F84" t="s">
        <v>29</v>
      </c>
      <c r="G84">
        <v>5</v>
      </c>
      <c r="H84">
        <v>1886</v>
      </c>
      <c r="I84">
        <v>9430</v>
      </c>
      <c r="J84" t="s">
        <v>20</v>
      </c>
      <c r="K84" t="s">
        <v>30</v>
      </c>
      <c r="L84" t="s">
        <v>22</v>
      </c>
      <c r="M84" t="s">
        <v>23</v>
      </c>
      <c r="N84" t="s">
        <v>23</v>
      </c>
      <c r="O84" t="s">
        <v>177</v>
      </c>
      <c r="P84" t="s">
        <v>61</v>
      </c>
    </row>
    <row r="85" spans="1:16" x14ac:dyDescent="0.3">
      <c r="A85" t="s">
        <v>178</v>
      </c>
      <c r="B85">
        <v>25</v>
      </c>
      <c r="C85" t="s">
        <v>17</v>
      </c>
      <c r="D85" t="s">
        <v>42</v>
      </c>
      <c r="E85">
        <v>119705</v>
      </c>
      <c r="F85" t="s">
        <v>59</v>
      </c>
      <c r="G85">
        <v>8</v>
      </c>
      <c r="H85">
        <v>2716</v>
      </c>
      <c r="I85">
        <v>21728</v>
      </c>
      <c r="J85" t="s">
        <v>48</v>
      </c>
      <c r="K85" t="s">
        <v>21</v>
      </c>
      <c r="L85" t="s">
        <v>22</v>
      </c>
      <c r="M85" t="s">
        <v>32</v>
      </c>
      <c r="N85" t="s">
        <v>23</v>
      </c>
      <c r="O85" t="s">
        <v>179</v>
      </c>
      <c r="P85" t="s">
        <v>40</v>
      </c>
    </row>
    <row r="86" spans="1:16" x14ac:dyDescent="0.3">
      <c r="A86" t="s">
        <v>180</v>
      </c>
      <c r="B86">
        <v>40</v>
      </c>
      <c r="C86" t="s">
        <v>17</v>
      </c>
      <c r="D86" t="s">
        <v>68</v>
      </c>
      <c r="E86">
        <v>72516</v>
      </c>
      <c r="F86" t="s">
        <v>19</v>
      </c>
      <c r="G86">
        <v>2</v>
      </c>
      <c r="H86">
        <v>2317</v>
      </c>
      <c r="I86">
        <v>4634</v>
      </c>
      <c r="J86" t="s">
        <v>38</v>
      </c>
      <c r="K86" t="s">
        <v>30</v>
      </c>
      <c r="L86" t="s">
        <v>22</v>
      </c>
      <c r="M86" t="s">
        <v>32</v>
      </c>
      <c r="N86" t="s">
        <v>23</v>
      </c>
      <c r="O86" t="s">
        <v>159</v>
      </c>
      <c r="P86" t="s">
        <v>46</v>
      </c>
    </row>
    <row r="87" spans="1:16" x14ac:dyDescent="0.3">
      <c r="A87" t="s">
        <v>181</v>
      </c>
      <c r="B87">
        <v>32</v>
      </c>
      <c r="C87" t="s">
        <v>17</v>
      </c>
      <c r="D87" t="s">
        <v>18</v>
      </c>
      <c r="E87">
        <v>40350</v>
      </c>
      <c r="F87" t="s">
        <v>43</v>
      </c>
      <c r="G87">
        <v>3</v>
      </c>
      <c r="H87">
        <v>1500</v>
      </c>
      <c r="I87">
        <v>4500</v>
      </c>
      <c r="J87" t="s">
        <v>56</v>
      </c>
      <c r="K87" t="s">
        <v>21</v>
      </c>
      <c r="L87" t="s">
        <v>22</v>
      </c>
      <c r="M87" t="s">
        <v>23</v>
      </c>
      <c r="N87" t="s">
        <v>24</v>
      </c>
      <c r="O87" t="s">
        <v>182</v>
      </c>
      <c r="P87" t="s">
        <v>26</v>
      </c>
    </row>
    <row r="88" spans="1:16" x14ac:dyDescent="0.3">
      <c r="A88" t="s">
        <v>183</v>
      </c>
      <c r="B88">
        <v>37</v>
      </c>
      <c r="C88" t="s">
        <v>35</v>
      </c>
      <c r="D88" t="s">
        <v>36</v>
      </c>
      <c r="E88">
        <v>117404</v>
      </c>
      <c r="F88" t="s">
        <v>19</v>
      </c>
      <c r="G88">
        <v>3</v>
      </c>
      <c r="H88">
        <v>1451</v>
      </c>
      <c r="I88">
        <v>4353</v>
      </c>
      <c r="J88" t="s">
        <v>56</v>
      </c>
      <c r="K88" t="s">
        <v>30</v>
      </c>
      <c r="L88" t="s">
        <v>31</v>
      </c>
      <c r="M88" t="s">
        <v>24</v>
      </c>
      <c r="N88" t="s">
        <v>23</v>
      </c>
      <c r="O88" t="s">
        <v>92</v>
      </c>
      <c r="P88" t="s">
        <v>46</v>
      </c>
    </row>
    <row r="89" spans="1:16" x14ac:dyDescent="0.3">
      <c r="A89" t="s">
        <v>184</v>
      </c>
      <c r="B89">
        <v>48</v>
      </c>
      <c r="C89" t="s">
        <v>35</v>
      </c>
      <c r="D89" t="s">
        <v>73</v>
      </c>
      <c r="E89">
        <v>140795</v>
      </c>
      <c r="F89" t="s">
        <v>59</v>
      </c>
      <c r="G89">
        <v>8</v>
      </c>
      <c r="H89">
        <v>1915</v>
      </c>
      <c r="I89">
        <v>15320</v>
      </c>
      <c r="J89" t="s">
        <v>48</v>
      </c>
      <c r="K89" t="s">
        <v>30</v>
      </c>
      <c r="L89" t="s">
        <v>22</v>
      </c>
      <c r="M89" t="s">
        <v>23</v>
      </c>
      <c r="N89" t="s">
        <v>24</v>
      </c>
      <c r="O89" t="s">
        <v>185</v>
      </c>
      <c r="P89" t="s">
        <v>40</v>
      </c>
    </row>
    <row r="90" spans="1:16" x14ac:dyDescent="0.3">
      <c r="A90" t="s">
        <v>186</v>
      </c>
      <c r="B90">
        <v>39</v>
      </c>
      <c r="C90" t="s">
        <v>35</v>
      </c>
      <c r="D90" t="s">
        <v>68</v>
      </c>
      <c r="E90">
        <v>138794</v>
      </c>
      <c r="F90" t="s">
        <v>29</v>
      </c>
      <c r="G90">
        <v>4</v>
      </c>
      <c r="H90">
        <v>2062</v>
      </c>
      <c r="I90">
        <v>8248</v>
      </c>
      <c r="J90" t="s">
        <v>56</v>
      </c>
      <c r="K90" t="s">
        <v>30</v>
      </c>
      <c r="L90" t="s">
        <v>31</v>
      </c>
      <c r="M90" t="s">
        <v>23</v>
      </c>
      <c r="N90" t="s">
        <v>24</v>
      </c>
      <c r="O90" t="s">
        <v>187</v>
      </c>
      <c r="P90" t="s">
        <v>61</v>
      </c>
    </row>
    <row r="91" spans="1:16" x14ac:dyDescent="0.3">
      <c r="A91" t="s">
        <v>188</v>
      </c>
      <c r="B91">
        <v>39</v>
      </c>
      <c r="C91" t="s">
        <v>17</v>
      </c>
      <c r="D91" t="s">
        <v>28</v>
      </c>
      <c r="E91">
        <v>135110</v>
      </c>
      <c r="F91" t="s">
        <v>59</v>
      </c>
      <c r="G91">
        <v>1</v>
      </c>
      <c r="H91">
        <v>2983</v>
      </c>
      <c r="I91">
        <v>2983</v>
      </c>
      <c r="J91" t="s">
        <v>48</v>
      </c>
      <c r="K91" t="s">
        <v>21</v>
      </c>
      <c r="L91" t="s">
        <v>22</v>
      </c>
      <c r="M91" t="s">
        <v>23</v>
      </c>
      <c r="N91" t="s">
        <v>24</v>
      </c>
      <c r="O91" t="s">
        <v>88</v>
      </c>
      <c r="P91" t="s">
        <v>26</v>
      </c>
    </row>
    <row r="92" spans="1:16" x14ac:dyDescent="0.3">
      <c r="A92" t="s">
        <v>189</v>
      </c>
      <c r="B92">
        <v>23</v>
      </c>
      <c r="C92" t="s">
        <v>35</v>
      </c>
      <c r="D92" t="s">
        <v>73</v>
      </c>
      <c r="E92">
        <v>34373</v>
      </c>
      <c r="F92" t="s">
        <v>43</v>
      </c>
      <c r="G92">
        <v>3</v>
      </c>
      <c r="H92">
        <v>3073</v>
      </c>
      <c r="I92">
        <v>9219</v>
      </c>
      <c r="J92" t="s">
        <v>38</v>
      </c>
      <c r="K92" t="s">
        <v>21</v>
      </c>
      <c r="L92" t="s">
        <v>31</v>
      </c>
      <c r="M92" t="s">
        <v>32</v>
      </c>
      <c r="N92" t="s">
        <v>23</v>
      </c>
      <c r="O92" t="s">
        <v>190</v>
      </c>
      <c r="P92" t="s">
        <v>46</v>
      </c>
    </row>
    <row r="93" spans="1:16" x14ac:dyDescent="0.3">
      <c r="A93" t="s">
        <v>191</v>
      </c>
      <c r="B93">
        <v>33</v>
      </c>
      <c r="C93" t="s">
        <v>17</v>
      </c>
      <c r="D93" t="s">
        <v>28</v>
      </c>
      <c r="E93">
        <v>144879</v>
      </c>
      <c r="F93" t="s">
        <v>59</v>
      </c>
      <c r="G93">
        <v>6</v>
      </c>
      <c r="H93">
        <v>3561</v>
      </c>
      <c r="I93">
        <v>21366</v>
      </c>
      <c r="J93" t="s">
        <v>20</v>
      </c>
      <c r="K93" t="s">
        <v>30</v>
      </c>
      <c r="L93" t="s">
        <v>31</v>
      </c>
      <c r="M93" t="s">
        <v>24</v>
      </c>
      <c r="N93" t="s">
        <v>32</v>
      </c>
      <c r="O93" t="s">
        <v>192</v>
      </c>
      <c r="P93" t="s">
        <v>40</v>
      </c>
    </row>
    <row r="94" spans="1:16" x14ac:dyDescent="0.3">
      <c r="A94" t="s">
        <v>193</v>
      </c>
      <c r="B94">
        <v>42</v>
      </c>
      <c r="C94" t="s">
        <v>17</v>
      </c>
      <c r="D94" t="s">
        <v>73</v>
      </c>
      <c r="E94">
        <v>39869</v>
      </c>
      <c r="F94" t="s">
        <v>37</v>
      </c>
      <c r="G94">
        <v>8</v>
      </c>
      <c r="H94">
        <v>3803</v>
      </c>
      <c r="I94">
        <v>30424</v>
      </c>
      <c r="J94" t="s">
        <v>48</v>
      </c>
      <c r="K94" t="s">
        <v>30</v>
      </c>
      <c r="L94" t="s">
        <v>22</v>
      </c>
      <c r="M94" t="s">
        <v>24</v>
      </c>
      <c r="N94" t="s">
        <v>23</v>
      </c>
      <c r="O94" t="s">
        <v>60</v>
      </c>
      <c r="P94" t="s">
        <v>40</v>
      </c>
    </row>
    <row r="95" spans="1:16" x14ac:dyDescent="0.3">
      <c r="A95" t="s">
        <v>194</v>
      </c>
      <c r="B95">
        <v>28</v>
      </c>
      <c r="C95" t="s">
        <v>35</v>
      </c>
      <c r="D95" t="s">
        <v>36</v>
      </c>
      <c r="E95">
        <v>118188</v>
      </c>
      <c r="F95" t="s">
        <v>29</v>
      </c>
      <c r="G95">
        <v>7</v>
      </c>
      <c r="H95">
        <v>557</v>
      </c>
      <c r="I95">
        <v>3899</v>
      </c>
      <c r="J95" t="s">
        <v>38</v>
      </c>
      <c r="K95" t="s">
        <v>30</v>
      </c>
      <c r="L95" t="s">
        <v>22</v>
      </c>
      <c r="M95" t="s">
        <v>24</v>
      </c>
      <c r="N95" t="s">
        <v>23</v>
      </c>
      <c r="O95" t="s">
        <v>185</v>
      </c>
      <c r="P95" t="s">
        <v>46</v>
      </c>
    </row>
    <row r="96" spans="1:16" x14ac:dyDescent="0.3">
      <c r="A96" t="s">
        <v>195</v>
      </c>
      <c r="B96">
        <v>41</v>
      </c>
      <c r="C96" t="s">
        <v>17</v>
      </c>
      <c r="D96" t="s">
        <v>42</v>
      </c>
      <c r="E96">
        <v>38285</v>
      </c>
      <c r="F96" t="s">
        <v>29</v>
      </c>
      <c r="G96">
        <v>4</v>
      </c>
      <c r="H96">
        <v>2431</v>
      </c>
      <c r="I96">
        <v>9724</v>
      </c>
      <c r="J96" t="s">
        <v>56</v>
      </c>
      <c r="K96" t="s">
        <v>30</v>
      </c>
      <c r="L96" t="s">
        <v>22</v>
      </c>
      <c r="M96" t="s">
        <v>32</v>
      </c>
      <c r="N96" t="s">
        <v>23</v>
      </c>
      <c r="O96" t="s">
        <v>156</v>
      </c>
      <c r="P96" t="s">
        <v>46</v>
      </c>
    </row>
    <row r="97" spans="1:16" x14ac:dyDescent="0.3">
      <c r="A97" t="s">
        <v>196</v>
      </c>
      <c r="B97">
        <v>52</v>
      </c>
      <c r="C97" t="s">
        <v>17</v>
      </c>
      <c r="D97" t="s">
        <v>68</v>
      </c>
      <c r="E97">
        <v>60775</v>
      </c>
      <c r="F97" t="s">
        <v>43</v>
      </c>
      <c r="G97">
        <v>3</v>
      </c>
      <c r="H97">
        <v>685</v>
      </c>
      <c r="I97">
        <v>2055</v>
      </c>
      <c r="J97" t="s">
        <v>48</v>
      </c>
      <c r="K97" t="s">
        <v>30</v>
      </c>
      <c r="L97" t="s">
        <v>22</v>
      </c>
      <c r="M97" t="s">
        <v>32</v>
      </c>
      <c r="N97" t="s">
        <v>24</v>
      </c>
      <c r="O97" t="s">
        <v>66</v>
      </c>
      <c r="P97" t="s">
        <v>26</v>
      </c>
    </row>
    <row r="98" spans="1:16" x14ac:dyDescent="0.3">
      <c r="A98" t="s">
        <v>197</v>
      </c>
      <c r="B98">
        <v>30</v>
      </c>
      <c r="C98" t="s">
        <v>35</v>
      </c>
      <c r="D98" t="s">
        <v>42</v>
      </c>
      <c r="E98">
        <v>42978</v>
      </c>
      <c r="F98" t="s">
        <v>55</v>
      </c>
      <c r="G98">
        <v>7</v>
      </c>
      <c r="H98">
        <v>2905</v>
      </c>
      <c r="I98">
        <v>20335</v>
      </c>
      <c r="J98" t="s">
        <v>20</v>
      </c>
      <c r="K98" t="s">
        <v>30</v>
      </c>
      <c r="L98" t="s">
        <v>22</v>
      </c>
      <c r="M98" t="s">
        <v>23</v>
      </c>
      <c r="N98" t="s">
        <v>23</v>
      </c>
      <c r="O98" t="s">
        <v>25</v>
      </c>
      <c r="P98" t="s">
        <v>40</v>
      </c>
    </row>
    <row r="99" spans="1:16" x14ac:dyDescent="0.3">
      <c r="A99" t="s">
        <v>198</v>
      </c>
      <c r="B99">
        <v>36</v>
      </c>
      <c r="C99" t="s">
        <v>35</v>
      </c>
      <c r="D99" t="s">
        <v>68</v>
      </c>
      <c r="E99">
        <v>119873</v>
      </c>
      <c r="F99" t="s">
        <v>59</v>
      </c>
      <c r="G99">
        <v>6</v>
      </c>
      <c r="H99">
        <v>1389</v>
      </c>
      <c r="I99">
        <v>8334</v>
      </c>
      <c r="J99" t="s">
        <v>20</v>
      </c>
      <c r="K99" t="s">
        <v>30</v>
      </c>
      <c r="L99" t="s">
        <v>31</v>
      </c>
      <c r="M99" t="s">
        <v>24</v>
      </c>
      <c r="N99" t="s">
        <v>24</v>
      </c>
      <c r="O99" t="s">
        <v>199</v>
      </c>
      <c r="P99" t="s">
        <v>26</v>
      </c>
    </row>
    <row r="100" spans="1:16" x14ac:dyDescent="0.3">
      <c r="A100" t="s">
        <v>200</v>
      </c>
      <c r="B100">
        <v>26</v>
      </c>
      <c r="C100" t="s">
        <v>17</v>
      </c>
      <c r="D100" t="s">
        <v>42</v>
      </c>
      <c r="E100">
        <v>113819</v>
      </c>
      <c r="F100" t="s">
        <v>43</v>
      </c>
      <c r="G100">
        <v>5</v>
      </c>
      <c r="H100">
        <v>1277</v>
      </c>
      <c r="I100">
        <v>6385</v>
      </c>
      <c r="J100" t="s">
        <v>44</v>
      </c>
      <c r="K100" t="s">
        <v>21</v>
      </c>
      <c r="L100" t="s">
        <v>22</v>
      </c>
      <c r="M100" t="s">
        <v>32</v>
      </c>
      <c r="N100" t="s">
        <v>24</v>
      </c>
      <c r="O100" t="s">
        <v>78</v>
      </c>
      <c r="P100" t="s">
        <v>26</v>
      </c>
    </row>
    <row r="101" spans="1:16" x14ac:dyDescent="0.3">
      <c r="A101" t="s">
        <v>201</v>
      </c>
      <c r="B101">
        <v>25</v>
      </c>
      <c r="C101" t="s">
        <v>17</v>
      </c>
      <c r="D101" t="s">
        <v>28</v>
      </c>
      <c r="E101">
        <v>58305</v>
      </c>
      <c r="F101" t="s">
        <v>37</v>
      </c>
      <c r="G101">
        <v>3</v>
      </c>
      <c r="H101">
        <v>3723</v>
      </c>
      <c r="I101">
        <v>11169</v>
      </c>
      <c r="J101" t="s">
        <v>38</v>
      </c>
      <c r="K101" t="s">
        <v>21</v>
      </c>
      <c r="L101" t="s">
        <v>31</v>
      </c>
      <c r="M101" t="s">
        <v>23</v>
      </c>
      <c r="N101" t="s">
        <v>32</v>
      </c>
      <c r="O101" t="s">
        <v>106</v>
      </c>
      <c r="P101"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D9F74-9E7C-4B23-8CB2-D8948BF28266}">
  <dimension ref="A3:B10"/>
  <sheetViews>
    <sheetView workbookViewId="0">
      <selection activeCell="J6" sqref="J6"/>
    </sheetView>
  </sheetViews>
  <sheetFormatPr defaultRowHeight="14.4" x14ac:dyDescent="0.3"/>
  <cols>
    <col min="1" max="1" width="12.5546875" bestFit="1" customWidth="1"/>
    <col min="2" max="2" width="20.21875" bestFit="1" customWidth="1"/>
  </cols>
  <sheetData>
    <row r="3" spans="1:2" x14ac:dyDescent="0.3">
      <c r="A3" s="12" t="s">
        <v>208</v>
      </c>
      <c r="B3" t="s">
        <v>210</v>
      </c>
    </row>
    <row r="4" spans="1:2" x14ac:dyDescent="0.3">
      <c r="A4" s="13" t="s">
        <v>18</v>
      </c>
      <c r="B4">
        <v>100746</v>
      </c>
    </row>
    <row r="5" spans="1:2" x14ac:dyDescent="0.3">
      <c r="A5" s="13" t="s">
        <v>36</v>
      </c>
      <c r="B5">
        <v>117573</v>
      </c>
    </row>
    <row r="6" spans="1:2" x14ac:dyDescent="0.3">
      <c r="A6" s="13" t="s">
        <v>42</v>
      </c>
      <c r="B6">
        <v>313632</v>
      </c>
    </row>
    <row r="7" spans="1:2" x14ac:dyDescent="0.3">
      <c r="A7" s="13" t="s">
        <v>68</v>
      </c>
      <c r="B7">
        <v>109217</v>
      </c>
    </row>
    <row r="8" spans="1:2" x14ac:dyDescent="0.3">
      <c r="A8" s="13" t="s">
        <v>73</v>
      </c>
      <c r="B8">
        <v>200101</v>
      </c>
    </row>
    <row r="9" spans="1:2" x14ac:dyDescent="0.3">
      <c r="A9" s="13" t="s">
        <v>28</v>
      </c>
      <c r="B9">
        <v>157953</v>
      </c>
    </row>
    <row r="10" spans="1:2" x14ac:dyDescent="0.3">
      <c r="A10" s="13" t="s">
        <v>209</v>
      </c>
      <c r="B10">
        <v>999222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C11DB-D011-41BE-85BA-82ED5492EA1A}">
  <dimension ref="A3:C9"/>
  <sheetViews>
    <sheetView workbookViewId="0">
      <selection activeCell="E17" sqref="E17"/>
    </sheetView>
  </sheetViews>
  <sheetFormatPr defaultRowHeight="14.4" x14ac:dyDescent="0.3"/>
  <cols>
    <col min="1" max="1" width="12.5546875" bestFit="1" customWidth="1"/>
    <col min="2" max="2" width="25.109375" bestFit="1" customWidth="1"/>
    <col min="3" max="3" width="20.21875" bestFit="1" customWidth="1"/>
  </cols>
  <sheetData>
    <row r="3" spans="1:3" x14ac:dyDescent="0.3">
      <c r="A3" s="12" t="s">
        <v>208</v>
      </c>
      <c r="B3" t="s">
        <v>211</v>
      </c>
      <c r="C3" t="s">
        <v>210</v>
      </c>
    </row>
    <row r="4" spans="1:3" x14ac:dyDescent="0.3">
      <c r="A4" s="13" t="s">
        <v>56</v>
      </c>
      <c r="B4">
        <v>18</v>
      </c>
      <c r="C4">
        <v>171242</v>
      </c>
    </row>
    <row r="5" spans="1:3" x14ac:dyDescent="0.3">
      <c r="A5" s="13" t="s">
        <v>44</v>
      </c>
      <c r="B5">
        <v>11</v>
      </c>
      <c r="C5">
        <v>91837</v>
      </c>
    </row>
    <row r="6" spans="1:3" x14ac:dyDescent="0.3">
      <c r="A6" s="13" t="s">
        <v>48</v>
      </c>
      <c r="B6">
        <v>25</v>
      </c>
      <c r="C6">
        <v>288808</v>
      </c>
    </row>
    <row r="7" spans="1:3" x14ac:dyDescent="0.3">
      <c r="A7" s="13" t="s">
        <v>38</v>
      </c>
      <c r="B7">
        <v>20</v>
      </c>
      <c r="C7">
        <v>219684</v>
      </c>
    </row>
    <row r="8" spans="1:3" x14ac:dyDescent="0.3">
      <c r="A8" s="13" t="s">
        <v>20</v>
      </c>
      <c r="B8">
        <v>26</v>
      </c>
      <c r="C8">
        <v>227651</v>
      </c>
    </row>
    <row r="9" spans="1:3" x14ac:dyDescent="0.3">
      <c r="A9" s="13" t="s">
        <v>209</v>
      </c>
      <c r="B9">
        <v>100</v>
      </c>
      <c r="C9">
        <v>999222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015D-2F84-4409-972C-783B372C34D7}">
  <dimension ref="A3:D13"/>
  <sheetViews>
    <sheetView workbookViewId="0">
      <selection activeCell="H24" sqref="H24"/>
    </sheetView>
  </sheetViews>
  <sheetFormatPr defaultRowHeight="14.4" x14ac:dyDescent="0.3"/>
  <cols>
    <col min="1" max="1" width="12.77734375" bestFit="1" customWidth="1"/>
    <col min="2" max="2" width="10.6640625" bestFit="1" customWidth="1"/>
    <col min="3" max="3" width="18.77734375" bestFit="1" customWidth="1"/>
    <col min="4" max="6" width="20.21875" bestFit="1" customWidth="1"/>
  </cols>
  <sheetData>
    <row r="3" spans="1:4" x14ac:dyDescent="0.3">
      <c r="A3" s="12" t="s">
        <v>208</v>
      </c>
      <c r="B3" t="s">
        <v>207</v>
      </c>
      <c r="C3" t="s">
        <v>212</v>
      </c>
      <c r="D3" t="s">
        <v>210</v>
      </c>
    </row>
    <row r="4" spans="1:4" x14ac:dyDescent="0.3">
      <c r="A4" s="13" t="s">
        <v>23</v>
      </c>
      <c r="B4">
        <v>1592</v>
      </c>
      <c r="C4">
        <v>3568551</v>
      </c>
      <c r="D4">
        <v>458630</v>
      </c>
    </row>
    <row r="5" spans="1:4" x14ac:dyDescent="0.3">
      <c r="A5" s="14" t="s">
        <v>31</v>
      </c>
      <c r="B5">
        <v>721</v>
      </c>
      <c r="C5">
        <v>1582447</v>
      </c>
      <c r="D5">
        <v>191630</v>
      </c>
    </row>
    <row r="6" spans="1:4" x14ac:dyDescent="0.3">
      <c r="A6" s="14" t="s">
        <v>22</v>
      </c>
      <c r="B6">
        <v>871</v>
      </c>
      <c r="C6">
        <v>1986104</v>
      </c>
      <c r="D6">
        <v>267000</v>
      </c>
    </row>
    <row r="7" spans="1:4" x14ac:dyDescent="0.3">
      <c r="A7" s="13" t="s">
        <v>32</v>
      </c>
      <c r="B7">
        <v>770</v>
      </c>
      <c r="C7">
        <v>1906824</v>
      </c>
      <c r="D7">
        <v>232995</v>
      </c>
    </row>
    <row r="8" spans="1:4" x14ac:dyDescent="0.3">
      <c r="A8" s="14" t="s">
        <v>31</v>
      </c>
      <c r="B8">
        <v>454</v>
      </c>
      <c r="C8">
        <v>876117</v>
      </c>
      <c r="D8">
        <v>121544</v>
      </c>
    </row>
    <row r="9" spans="1:4" x14ac:dyDescent="0.3">
      <c r="A9" s="14" t="s">
        <v>22</v>
      </c>
      <c r="B9">
        <v>316</v>
      </c>
      <c r="C9">
        <v>1030707</v>
      </c>
      <c r="D9">
        <v>111451</v>
      </c>
    </row>
    <row r="10" spans="1:4" x14ac:dyDescent="0.3">
      <c r="A10" s="13" t="s">
        <v>24</v>
      </c>
      <c r="B10">
        <v>1408</v>
      </c>
      <c r="C10">
        <v>3216084</v>
      </c>
      <c r="D10">
        <v>307597</v>
      </c>
    </row>
    <row r="11" spans="1:4" x14ac:dyDescent="0.3">
      <c r="A11" s="14" t="s">
        <v>31</v>
      </c>
      <c r="B11">
        <v>605</v>
      </c>
      <c r="C11">
        <v>1455369</v>
      </c>
      <c r="D11">
        <v>141435</v>
      </c>
    </row>
    <row r="12" spans="1:4" x14ac:dyDescent="0.3">
      <c r="A12" s="14" t="s">
        <v>22</v>
      </c>
      <c r="B12">
        <v>803</v>
      </c>
      <c r="C12">
        <v>1760715</v>
      </c>
      <c r="D12">
        <v>166162</v>
      </c>
    </row>
    <row r="13" spans="1:4" x14ac:dyDescent="0.3">
      <c r="A13" s="13" t="s">
        <v>209</v>
      </c>
      <c r="B13">
        <v>3770</v>
      </c>
      <c r="C13">
        <v>8691459</v>
      </c>
      <c r="D13">
        <v>999222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8B7C-EBF8-4823-8544-A6034E4BCF90}">
  <dimension ref="A3:B16"/>
  <sheetViews>
    <sheetView workbookViewId="0">
      <selection activeCell="M6" sqref="M6"/>
    </sheetView>
  </sheetViews>
  <sheetFormatPr defaultRowHeight="14.4" x14ac:dyDescent="0.3"/>
  <cols>
    <col min="1" max="1" width="15.21875" bestFit="1" customWidth="1"/>
    <col min="2" max="2" width="20.21875" bestFit="1" customWidth="1"/>
  </cols>
  <sheetData>
    <row r="3" spans="1:2" x14ac:dyDescent="0.3">
      <c r="A3" s="12" t="s">
        <v>208</v>
      </c>
      <c r="B3" t="s">
        <v>210</v>
      </c>
    </row>
    <row r="4" spans="1:2" x14ac:dyDescent="0.3">
      <c r="A4" s="13" t="s">
        <v>35</v>
      </c>
      <c r="B4">
        <v>553831</v>
      </c>
    </row>
    <row r="5" spans="1:2" x14ac:dyDescent="0.3">
      <c r="A5" s="14" t="s">
        <v>56</v>
      </c>
      <c r="B5">
        <v>104575</v>
      </c>
    </row>
    <row r="6" spans="1:2" x14ac:dyDescent="0.3">
      <c r="A6" s="14" t="s">
        <v>44</v>
      </c>
      <c r="B6">
        <v>57870</v>
      </c>
    </row>
    <row r="7" spans="1:2" x14ac:dyDescent="0.3">
      <c r="A7" s="14" t="s">
        <v>48</v>
      </c>
      <c r="B7">
        <v>133903</v>
      </c>
    </row>
    <row r="8" spans="1:2" x14ac:dyDescent="0.3">
      <c r="A8" s="14" t="s">
        <v>38</v>
      </c>
      <c r="B8">
        <v>159067</v>
      </c>
    </row>
    <row r="9" spans="1:2" x14ac:dyDescent="0.3">
      <c r="A9" s="14" t="s">
        <v>20</v>
      </c>
      <c r="B9">
        <v>98416</v>
      </c>
    </row>
    <row r="10" spans="1:2" x14ac:dyDescent="0.3">
      <c r="A10" s="13" t="s">
        <v>17</v>
      </c>
      <c r="B10">
        <v>445391</v>
      </c>
    </row>
    <row r="11" spans="1:2" x14ac:dyDescent="0.3">
      <c r="A11" s="14" t="s">
        <v>56</v>
      </c>
      <c r="B11">
        <v>66667</v>
      </c>
    </row>
    <row r="12" spans="1:2" x14ac:dyDescent="0.3">
      <c r="A12" s="14" t="s">
        <v>44</v>
      </c>
      <c r="B12">
        <v>33967</v>
      </c>
    </row>
    <row r="13" spans="1:2" x14ac:dyDescent="0.3">
      <c r="A13" s="14" t="s">
        <v>48</v>
      </c>
      <c r="B13">
        <v>154905</v>
      </c>
    </row>
    <row r="14" spans="1:2" x14ac:dyDescent="0.3">
      <c r="A14" s="14" t="s">
        <v>38</v>
      </c>
      <c r="B14">
        <v>60617</v>
      </c>
    </row>
    <row r="15" spans="1:2" x14ac:dyDescent="0.3">
      <c r="A15" s="14" t="s">
        <v>20</v>
      </c>
      <c r="B15">
        <v>129235</v>
      </c>
    </row>
    <row r="16" spans="1:2" x14ac:dyDescent="0.3">
      <c r="A16" s="13" t="s">
        <v>209</v>
      </c>
      <c r="B16">
        <v>999222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686D6-BDA5-46EA-8715-DA4F009F6AD5}">
  <dimension ref="A3:C20"/>
  <sheetViews>
    <sheetView workbookViewId="0">
      <selection activeCell="M4" sqref="M4"/>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7A7C-16F1-4F81-98DC-44033410D020}">
  <dimension ref="A3:C20"/>
  <sheetViews>
    <sheetView workbookViewId="0">
      <selection activeCell="A3" sqref="A3"/>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A8A1F-561D-46DE-9303-6D7B2E30DC78}">
  <dimension ref="A3:C20"/>
  <sheetViews>
    <sheetView workbookViewId="0">
      <selection activeCell="A3" sqref="A3"/>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82D81-9E82-46AC-AFBC-22B83B27515A}">
  <dimension ref="A1:P101"/>
  <sheetViews>
    <sheetView workbookViewId="0">
      <selection activeCell="P1" sqref="P1"/>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v>36</v>
      </c>
      <c r="C2" t="s">
        <v>17</v>
      </c>
      <c r="D2" t="s">
        <v>18</v>
      </c>
      <c r="E2">
        <v>126530</v>
      </c>
      <c r="F2" t="s">
        <v>19</v>
      </c>
      <c r="G2">
        <v>2</v>
      </c>
      <c r="H2">
        <v>602</v>
      </c>
      <c r="I2">
        <v>1204</v>
      </c>
      <c r="J2" t="s">
        <v>20</v>
      </c>
      <c r="K2" t="s">
        <v>21</v>
      </c>
      <c r="L2" t="s">
        <v>22</v>
      </c>
      <c r="M2" t="s">
        <v>23</v>
      </c>
      <c r="N2" t="s">
        <v>24</v>
      </c>
      <c r="O2" t="s">
        <v>25</v>
      </c>
      <c r="P2" t="s">
        <v>26</v>
      </c>
    </row>
    <row r="3" spans="1:16" x14ac:dyDescent="0.3">
      <c r="A3" t="s">
        <v>27</v>
      </c>
      <c r="B3">
        <v>53</v>
      </c>
      <c r="C3" t="s">
        <v>17</v>
      </c>
      <c r="D3" t="s">
        <v>28</v>
      </c>
      <c r="E3">
        <v>56062</v>
      </c>
      <c r="F3" t="s">
        <v>29</v>
      </c>
      <c r="G3">
        <v>1</v>
      </c>
      <c r="H3">
        <v>883</v>
      </c>
      <c r="I3">
        <v>883</v>
      </c>
      <c r="J3" t="s">
        <v>20</v>
      </c>
      <c r="K3" t="s">
        <v>30</v>
      </c>
      <c r="L3" t="s">
        <v>31</v>
      </c>
      <c r="M3" t="s">
        <v>32</v>
      </c>
      <c r="N3" t="s">
        <v>32</v>
      </c>
      <c r="O3" t="s">
        <v>33</v>
      </c>
      <c r="P3" t="s">
        <v>26</v>
      </c>
    </row>
    <row r="4" spans="1:16" x14ac:dyDescent="0.3">
      <c r="A4" t="s">
        <v>34</v>
      </c>
      <c r="B4">
        <v>48</v>
      </c>
      <c r="C4" t="s">
        <v>35</v>
      </c>
      <c r="D4" t="s">
        <v>36</v>
      </c>
      <c r="E4">
        <v>50379</v>
      </c>
      <c r="F4" t="s">
        <v>37</v>
      </c>
      <c r="G4">
        <v>5</v>
      </c>
      <c r="H4">
        <v>3815</v>
      </c>
      <c r="I4">
        <v>19075</v>
      </c>
      <c r="J4" t="s">
        <v>38</v>
      </c>
      <c r="K4" t="s">
        <v>21</v>
      </c>
      <c r="L4" t="s">
        <v>31</v>
      </c>
      <c r="M4" t="s">
        <v>32</v>
      </c>
      <c r="N4" t="s">
        <v>32</v>
      </c>
      <c r="O4" t="s">
        <v>39</v>
      </c>
      <c r="P4" t="s">
        <v>40</v>
      </c>
    </row>
    <row r="5" spans="1:16" x14ac:dyDescent="0.3">
      <c r="A5" t="s">
        <v>41</v>
      </c>
      <c r="B5">
        <v>37</v>
      </c>
      <c r="C5" t="s">
        <v>17</v>
      </c>
      <c r="D5" t="s">
        <v>42</v>
      </c>
      <c r="E5">
        <v>90217</v>
      </c>
      <c r="F5" t="s">
        <v>43</v>
      </c>
      <c r="G5">
        <v>2</v>
      </c>
      <c r="H5">
        <v>1970</v>
      </c>
      <c r="I5">
        <v>3940</v>
      </c>
      <c r="J5" t="s">
        <v>44</v>
      </c>
      <c r="K5" t="s">
        <v>30</v>
      </c>
      <c r="L5" t="s">
        <v>31</v>
      </c>
      <c r="M5" t="s">
        <v>24</v>
      </c>
      <c r="N5" t="s">
        <v>23</v>
      </c>
      <c r="O5" t="s">
        <v>45</v>
      </c>
      <c r="P5" t="s">
        <v>46</v>
      </c>
    </row>
    <row r="6" spans="1:16" x14ac:dyDescent="0.3">
      <c r="A6" t="s">
        <v>47</v>
      </c>
      <c r="B6">
        <v>44</v>
      </c>
      <c r="C6" t="s">
        <v>17</v>
      </c>
      <c r="D6" t="s">
        <v>42</v>
      </c>
      <c r="E6">
        <v>39116</v>
      </c>
      <c r="F6" t="s">
        <v>19</v>
      </c>
      <c r="G6">
        <v>5</v>
      </c>
      <c r="H6">
        <v>3897</v>
      </c>
      <c r="I6">
        <v>19485</v>
      </c>
      <c r="J6" t="s">
        <v>48</v>
      </c>
      <c r="K6" t="s">
        <v>30</v>
      </c>
      <c r="L6" t="s">
        <v>31</v>
      </c>
      <c r="M6" t="s">
        <v>23</v>
      </c>
      <c r="N6" t="s">
        <v>23</v>
      </c>
      <c r="O6" t="s">
        <v>49</v>
      </c>
      <c r="P6" t="s">
        <v>40</v>
      </c>
    </row>
    <row r="7" spans="1:16" x14ac:dyDescent="0.3">
      <c r="A7" t="s">
        <v>50</v>
      </c>
      <c r="B7">
        <v>44</v>
      </c>
      <c r="C7" t="s">
        <v>17</v>
      </c>
      <c r="D7" t="s">
        <v>36</v>
      </c>
      <c r="E7">
        <v>76566</v>
      </c>
      <c r="F7" t="s">
        <v>37</v>
      </c>
      <c r="G7">
        <v>2</v>
      </c>
      <c r="H7">
        <v>2056</v>
      </c>
      <c r="I7">
        <v>4112</v>
      </c>
      <c r="J7" t="s">
        <v>38</v>
      </c>
      <c r="K7" t="s">
        <v>21</v>
      </c>
      <c r="L7" t="s">
        <v>31</v>
      </c>
      <c r="M7" t="s">
        <v>24</v>
      </c>
      <c r="N7" t="s">
        <v>24</v>
      </c>
      <c r="O7" t="s">
        <v>51</v>
      </c>
      <c r="P7" t="s">
        <v>26</v>
      </c>
    </row>
    <row r="8" spans="1:16" x14ac:dyDescent="0.3">
      <c r="A8" t="s">
        <v>52</v>
      </c>
      <c r="B8">
        <v>38</v>
      </c>
      <c r="C8" t="s">
        <v>17</v>
      </c>
      <c r="D8" t="s">
        <v>42</v>
      </c>
      <c r="E8">
        <v>72504</v>
      </c>
      <c r="F8" t="s">
        <v>19</v>
      </c>
      <c r="G8">
        <v>4</v>
      </c>
      <c r="H8">
        <v>1169</v>
      </c>
      <c r="I8">
        <v>4676</v>
      </c>
      <c r="J8" t="s">
        <v>48</v>
      </c>
      <c r="K8" t="s">
        <v>21</v>
      </c>
      <c r="L8" t="s">
        <v>22</v>
      </c>
      <c r="M8" t="s">
        <v>24</v>
      </c>
      <c r="N8" t="s">
        <v>24</v>
      </c>
      <c r="O8" t="s">
        <v>53</v>
      </c>
      <c r="P8" t="s">
        <v>26</v>
      </c>
    </row>
    <row r="9" spans="1:16" x14ac:dyDescent="0.3">
      <c r="A9" t="s">
        <v>54</v>
      </c>
      <c r="B9">
        <v>41</v>
      </c>
      <c r="C9" t="s">
        <v>17</v>
      </c>
      <c r="D9" t="s">
        <v>42</v>
      </c>
      <c r="E9">
        <v>95435</v>
      </c>
      <c r="F9" t="s">
        <v>55</v>
      </c>
      <c r="G9">
        <v>5</v>
      </c>
      <c r="H9">
        <v>771</v>
      </c>
      <c r="I9">
        <v>3855</v>
      </c>
      <c r="J9" t="s">
        <v>56</v>
      </c>
      <c r="K9" t="s">
        <v>21</v>
      </c>
      <c r="L9" t="s">
        <v>22</v>
      </c>
      <c r="M9" t="s">
        <v>32</v>
      </c>
      <c r="N9" t="s">
        <v>23</v>
      </c>
      <c r="O9" t="s">
        <v>57</v>
      </c>
      <c r="P9" t="s">
        <v>46</v>
      </c>
    </row>
    <row r="10" spans="1:16" x14ac:dyDescent="0.3">
      <c r="A10" t="s">
        <v>58</v>
      </c>
      <c r="B10">
        <v>37</v>
      </c>
      <c r="C10" t="s">
        <v>35</v>
      </c>
      <c r="D10" t="s">
        <v>28</v>
      </c>
      <c r="E10">
        <v>82350</v>
      </c>
      <c r="F10" t="s">
        <v>59</v>
      </c>
      <c r="G10">
        <v>4</v>
      </c>
      <c r="H10">
        <v>3551</v>
      </c>
      <c r="I10">
        <v>14204</v>
      </c>
      <c r="J10" t="s">
        <v>48</v>
      </c>
      <c r="K10" t="s">
        <v>21</v>
      </c>
      <c r="L10" t="s">
        <v>22</v>
      </c>
      <c r="M10" t="s">
        <v>23</v>
      </c>
      <c r="N10" t="s">
        <v>23</v>
      </c>
      <c r="O10" t="s">
        <v>60</v>
      </c>
      <c r="P10" t="s">
        <v>61</v>
      </c>
    </row>
    <row r="11" spans="1:16" x14ac:dyDescent="0.3">
      <c r="A11" t="s">
        <v>62</v>
      </c>
      <c r="B11">
        <v>31</v>
      </c>
      <c r="C11" t="s">
        <v>35</v>
      </c>
      <c r="D11" t="s">
        <v>28</v>
      </c>
      <c r="E11">
        <v>38326</v>
      </c>
      <c r="F11" t="s">
        <v>55</v>
      </c>
      <c r="G11">
        <v>1</v>
      </c>
      <c r="H11">
        <v>949</v>
      </c>
      <c r="I11">
        <v>949</v>
      </c>
      <c r="J11" t="s">
        <v>56</v>
      </c>
      <c r="K11" t="s">
        <v>30</v>
      </c>
      <c r="L11" t="s">
        <v>22</v>
      </c>
      <c r="M11" t="s">
        <v>32</v>
      </c>
      <c r="N11" t="s">
        <v>23</v>
      </c>
      <c r="O11" t="s">
        <v>45</v>
      </c>
      <c r="P11" t="s">
        <v>46</v>
      </c>
    </row>
    <row r="12" spans="1:16" x14ac:dyDescent="0.3">
      <c r="A12" t="s">
        <v>63</v>
      </c>
      <c r="B12">
        <v>55</v>
      </c>
      <c r="C12" t="s">
        <v>35</v>
      </c>
      <c r="D12" t="s">
        <v>42</v>
      </c>
      <c r="E12">
        <v>74587</v>
      </c>
      <c r="F12" t="s">
        <v>19</v>
      </c>
      <c r="G12">
        <v>1</v>
      </c>
      <c r="H12">
        <v>3286</v>
      </c>
      <c r="I12">
        <v>3286</v>
      </c>
      <c r="J12" t="s">
        <v>38</v>
      </c>
      <c r="K12" t="s">
        <v>30</v>
      </c>
      <c r="L12" t="s">
        <v>31</v>
      </c>
      <c r="M12" t="s">
        <v>23</v>
      </c>
      <c r="N12" t="s">
        <v>32</v>
      </c>
      <c r="O12" t="s">
        <v>64</v>
      </c>
      <c r="P12" t="s">
        <v>26</v>
      </c>
    </row>
    <row r="13" spans="1:16" x14ac:dyDescent="0.3">
      <c r="A13" t="s">
        <v>65</v>
      </c>
      <c r="B13">
        <v>53</v>
      </c>
      <c r="C13" t="s">
        <v>17</v>
      </c>
      <c r="D13" t="s">
        <v>28</v>
      </c>
      <c r="E13">
        <v>149619</v>
      </c>
      <c r="F13" t="s">
        <v>19</v>
      </c>
      <c r="G13">
        <v>1</v>
      </c>
      <c r="H13">
        <v>3457</v>
      </c>
      <c r="I13">
        <v>3457</v>
      </c>
      <c r="J13" t="s">
        <v>38</v>
      </c>
      <c r="K13" t="s">
        <v>21</v>
      </c>
      <c r="L13" t="s">
        <v>31</v>
      </c>
      <c r="M13" t="s">
        <v>23</v>
      </c>
      <c r="N13" t="s">
        <v>24</v>
      </c>
      <c r="O13" t="s">
        <v>66</v>
      </c>
      <c r="P13" t="s">
        <v>26</v>
      </c>
    </row>
    <row r="14" spans="1:16" x14ac:dyDescent="0.3">
      <c r="A14" t="s">
        <v>67</v>
      </c>
      <c r="B14">
        <v>41</v>
      </c>
      <c r="C14" t="s">
        <v>35</v>
      </c>
      <c r="D14" t="s">
        <v>68</v>
      </c>
      <c r="E14">
        <v>44662</v>
      </c>
      <c r="F14" t="s">
        <v>59</v>
      </c>
      <c r="G14">
        <v>3</v>
      </c>
      <c r="H14">
        <v>2709</v>
      </c>
      <c r="I14">
        <v>8127</v>
      </c>
      <c r="J14" t="s">
        <v>38</v>
      </c>
      <c r="K14" t="s">
        <v>21</v>
      </c>
      <c r="L14" t="s">
        <v>31</v>
      </c>
      <c r="M14" t="s">
        <v>23</v>
      </c>
      <c r="N14" t="s">
        <v>32</v>
      </c>
      <c r="O14" t="s">
        <v>69</v>
      </c>
      <c r="P14" t="s">
        <v>26</v>
      </c>
    </row>
    <row r="15" spans="1:16" x14ac:dyDescent="0.3">
      <c r="A15" t="s">
        <v>70</v>
      </c>
      <c r="B15">
        <v>25</v>
      </c>
      <c r="C15" t="s">
        <v>17</v>
      </c>
      <c r="D15" t="s">
        <v>18</v>
      </c>
      <c r="E15">
        <v>116474</v>
      </c>
      <c r="F15" t="s">
        <v>55</v>
      </c>
      <c r="G15">
        <v>2</v>
      </c>
      <c r="H15">
        <v>850</v>
      </c>
      <c r="I15">
        <v>1700</v>
      </c>
      <c r="J15" t="s">
        <v>20</v>
      </c>
      <c r="K15" t="s">
        <v>21</v>
      </c>
      <c r="L15" t="s">
        <v>22</v>
      </c>
      <c r="M15" t="s">
        <v>23</v>
      </c>
      <c r="N15" t="s">
        <v>24</v>
      </c>
      <c r="O15" t="s">
        <v>71</v>
      </c>
      <c r="P15" t="s">
        <v>26</v>
      </c>
    </row>
    <row r="16" spans="1:16" x14ac:dyDescent="0.3">
      <c r="A16" t="s">
        <v>72</v>
      </c>
      <c r="B16">
        <v>33</v>
      </c>
      <c r="C16" t="s">
        <v>35</v>
      </c>
      <c r="D16" t="s">
        <v>73</v>
      </c>
      <c r="E16">
        <v>118039</v>
      </c>
      <c r="F16" t="s">
        <v>29</v>
      </c>
      <c r="G16">
        <v>7</v>
      </c>
      <c r="H16">
        <v>1367</v>
      </c>
      <c r="I16">
        <v>9569</v>
      </c>
      <c r="J16" t="s">
        <v>38</v>
      </c>
      <c r="K16" t="s">
        <v>30</v>
      </c>
      <c r="L16" t="s">
        <v>22</v>
      </c>
      <c r="M16" t="s">
        <v>23</v>
      </c>
      <c r="N16" t="s">
        <v>23</v>
      </c>
      <c r="O16" t="s">
        <v>74</v>
      </c>
      <c r="P16" t="s">
        <v>61</v>
      </c>
    </row>
    <row r="17" spans="1:16" x14ac:dyDescent="0.3">
      <c r="A17" t="s">
        <v>75</v>
      </c>
      <c r="B17">
        <v>22</v>
      </c>
      <c r="C17" t="s">
        <v>17</v>
      </c>
      <c r="D17" t="s">
        <v>28</v>
      </c>
      <c r="E17">
        <v>58864</v>
      </c>
      <c r="F17" t="s">
        <v>19</v>
      </c>
      <c r="G17">
        <v>4</v>
      </c>
      <c r="H17">
        <v>1420</v>
      </c>
      <c r="I17">
        <v>5680</v>
      </c>
      <c r="J17" t="s">
        <v>44</v>
      </c>
      <c r="K17" t="s">
        <v>21</v>
      </c>
      <c r="L17" t="s">
        <v>31</v>
      </c>
      <c r="M17" t="s">
        <v>32</v>
      </c>
      <c r="N17" t="s">
        <v>24</v>
      </c>
      <c r="O17" t="s">
        <v>76</v>
      </c>
      <c r="P17" t="s">
        <v>26</v>
      </c>
    </row>
    <row r="18" spans="1:16" x14ac:dyDescent="0.3">
      <c r="A18" t="s">
        <v>77</v>
      </c>
      <c r="B18">
        <v>36</v>
      </c>
      <c r="C18" t="s">
        <v>35</v>
      </c>
      <c r="D18" t="s">
        <v>42</v>
      </c>
      <c r="E18">
        <v>93624</v>
      </c>
      <c r="F18" t="s">
        <v>37</v>
      </c>
      <c r="G18">
        <v>1</v>
      </c>
      <c r="H18">
        <v>1853</v>
      </c>
      <c r="I18">
        <v>1853</v>
      </c>
      <c r="J18" t="s">
        <v>20</v>
      </c>
      <c r="K18" t="s">
        <v>21</v>
      </c>
      <c r="L18" t="s">
        <v>22</v>
      </c>
      <c r="M18" t="s">
        <v>32</v>
      </c>
      <c r="N18" t="s">
        <v>23</v>
      </c>
      <c r="O18" t="s">
        <v>78</v>
      </c>
      <c r="P18" t="s">
        <v>46</v>
      </c>
    </row>
    <row r="19" spans="1:16" x14ac:dyDescent="0.3">
      <c r="A19" t="s">
        <v>79</v>
      </c>
      <c r="B19">
        <v>27</v>
      </c>
      <c r="C19" t="s">
        <v>17</v>
      </c>
      <c r="D19" t="s">
        <v>42</v>
      </c>
      <c r="E19">
        <v>86498</v>
      </c>
      <c r="F19" t="s">
        <v>59</v>
      </c>
      <c r="G19">
        <v>8</v>
      </c>
      <c r="H19">
        <v>3807</v>
      </c>
      <c r="I19">
        <v>30456</v>
      </c>
      <c r="J19" t="s">
        <v>56</v>
      </c>
      <c r="K19" t="s">
        <v>30</v>
      </c>
      <c r="L19" t="s">
        <v>22</v>
      </c>
      <c r="M19" t="s">
        <v>24</v>
      </c>
      <c r="N19" t="s">
        <v>32</v>
      </c>
      <c r="O19" t="s">
        <v>80</v>
      </c>
      <c r="P19" t="s">
        <v>40</v>
      </c>
    </row>
    <row r="20" spans="1:16" x14ac:dyDescent="0.3">
      <c r="A20" t="s">
        <v>81</v>
      </c>
      <c r="B20">
        <v>42</v>
      </c>
      <c r="C20" t="s">
        <v>17</v>
      </c>
      <c r="D20" t="s">
        <v>18</v>
      </c>
      <c r="E20">
        <v>55112</v>
      </c>
      <c r="F20" t="s">
        <v>37</v>
      </c>
      <c r="G20">
        <v>2</v>
      </c>
      <c r="H20">
        <v>748</v>
      </c>
      <c r="I20">
        <v>1496</v>
      </c>
      <c r="J20" t="s">
        <v>20</v>
      </c>
      <c r="K20" t="s">
        <v>30</v>
      </c>
      <c r="L20" t="s">
        <v>31</v>
      </c>
      <c r="M20" t="s">
        <v>24</v>
      </c>
      <c r="N20" t="s">
        <v>23</v>
      </c>
      <c r="O20" t="s">
        <v>82</v>
      </c>
      <c r="P20" t="s">
        <v>46</v>
      </c>
    </row>
    <row r="21" spans="1:16" x14ac:dyDescent="0.3">
      <c r="A21" t="s">
        <v>83</v>
      </c>
      <c r="B21">
        <v>25</v>
      </c>
      <c r="C21" t="s">
        <v>35</v>
      </c>
      <c r="D21" t="s">
        <v>28</v>
      </c>
      <c r="E21">
        <v>42833</v>
      </c>
      <c r="F21" t="s">
        <v>19</v>
      </c>
      <c r="G21">
        <v>3</v>
      </c>
      <c r="H21">
        <v>1640</v>
      </c>
      <c r="I21">
        <v>4920</v>
      </c>
      <c r="J21" t="s">
        <v>20</v>
      </c>
      <c r="K21" t="s">
        <v>21</v>
      </c>
      <c r="L21" t="s">
        <v>31</v>
      </c>
      <c r="M21" t="s">
        <v>24</v>
      </c>
      <c r="N21" t="s">
        <v>32</v>
      </c>
      <c r="O21" t="s">
        <v>69</v>
      </c>
      <c r="P21" t="s">
        <v>26</v>
      </c>
    </row>
    <row r="22" spans="1:16" x14ac:dyDescent="0.3">
      <c r="A22" t="s">
        <v>84</v>
      </c>
      <c r="B22">
        <v>34</v>
      </c>
      <c r="C22" t="s">
        <v>35</v>
      </c>
      <c r="D22" t="s">
        <v>68</v>
      </c>
      <c r="E22">
        <v>51579</v>
      </c>
      <c r="F22" t="s">
        <v>55</v>
      </c>
      <c r="G22">
        <v>3</v>
      </c>
      <c r="H22">
        <v>2164</v>
      </c>
      <c r="I22">
        <v>6492</v>
      </c>
      <c r="J22" t="s">
        <v>44</v>
      </c>
      <c r="K22" t="s">
        <v>30</v>
      </c>
      <c r="L22" t="s">
        <v>22</v>
      </c>
      <c r="M22" t="s">
        <v>24</v>
      </c>
      <c r="N22" t="s">
        <v>24</v>
      </c>
      <c r="O22" t="s">
        <v>64</v>
      </c>
      <c r="P22" t="s">
        <v>26</v>
      </c>
    </row>
    <row r="23" spans="1:16" x14ac:dyDescent="0.3">
      <c r="A23" t="s">
        <v>85</v>
      </c>
      <c r="B23">
        <v>52</v>
      </c>
      <c r="C23" t="s">
        <v>17</v>
      </c>
      <c r="D23" t="s">
        <v>18</v>
      </c>
      <c r="E23">
        <v>68890</v>
      </c>
      <c r="F23" t="s">
        <v>37</v>
      </c>
      <c r="G23">
        <v>5</v>
      </c>
      <c r="H23">
        <v>2232</v>
      </c>
      <c r="I23">
        <v>11160</v>
      </c>
      <c r="J23" t="s">
        <v>44</v>
      </c>
      <c r="K23" t="s">
        <v>21</v>
      </c>
      <c r="L23" t="s">
        <v>22</v>
      </c>
      <c r="M23" t="s">
        <v>23</v>
      </c>
      <c r="N23" t="s">
        <v>23</v>
      </c>
      <c r="O23" t="s">
        <v>86</v>
      </c>
      <c r="P23" t="s">
        <v>61</v>
      </c>
    </row>
    <row r="24" spans="1:16" x14ac:dyDescent="0.3">
      <c r="A24" t="s">
        <v>87</v>
      </c>
      <c r="B24">
        <v>54</v>
      </c>
      <c r="C24" t="s">
        <v>17</v>
      </c>
      <c r="D24" t="s">
        <v>68</v>
      </c>
      <c r="E24">
        <v>96562</v>
      </c>
      <c r="F24" t="s">
        <v>19</v>
      </c>
      <c r="G24">
        <v>1</v>
      </c>
      <c r="H24">
        <v>2892</v>
      </c>
      <c r="I24">
        <v>2892</v>
      </c>
      <c r="J24" t="s">
        <v>48</v>
      </c>
      <c r="K24" t="s">
        <v>21</v>
      </c>
      <c r="L24" t="s">
        <v>31</v>
      </c>
      <c r="M24" t="s">
        <v>24</v>
      </c>
      <c r="N24" t="s">
        <v>23</v>
      </c>
      <c r="O24" t="s">
        <v>88</v>
      </c>
      <c r="P24" t="s">
        <v>46</v>
      </c>
    </row>
    <row r="25" spans="1:16" x14ac:dyDescent="0.3">
      <c r="A25" t="s">
        <v>89</v>
      </c>
      <c r="B25">
        <v>36</v>
      </c>
      <c r="C25" t="s">
        <v>17</v>
      </c>
      <c r="D25" t="s">
        <v>28</v>
      </c>
      <c r="E25">
        <v>40745</v>
      </c>
      <c r="F25" t="s">
        <v>55</v>
      </c>
      <c r="G25">
        <v>4</v>
      </c>
      <c r="H25">
        <v>2153</v>
      </c>
      <c r="I25">
        <v>8612</v>
      </c>
      <c r="J25" t="s">
        <v>20</v>
      </c>
      <c r="K25" t="s">
        <v>30</v>
      </c>
      <c r="L25" t="s">
        <v>22</v>
      </c>
      <c r="M25" t="s">
        <v>32</v>
      </c>
      <c r="N25" t="s">
        <v>23</v>
      </c>
      <c r="O25" t="s">
        <v>90</v>
      </c>
      <c r="P25" t="s">
        <v>46</v>
      </c>
    </row>
    <row r="26" spans="1:16" x14ac:dyDescent="0.3">
      <c r="A26" t="s">
        <v>91</v>
      </c>
      <c r="B26">
        <v>29</v>
      </c>
      <c r="C26" t="s">
        <v>35</v>
      </c>
      <c r="D26" t="s">
        <v>73</v>
      </c>
      <c r="E26">
        <v>71441</v>
      </c>
      <c r="F26" t="s">
        <v>19</v>
      </c>
      <c r="G26">
        <v>6</v>
      </c>
      <c r="H26">
        <v>1477</v>
      </c>
      <c r="I26">
        <v>8862</v>
      </c>
      <c r="J26" t="s">
        <v>44</v>
      </c>
      <c r="K26" t="s">
        <v>30</v>
      </c>
      <c r="L26" t="s">
        <v>31</v>
      </c>
      <c r="M26" t="s">
        <v>24</v>
      </c>
      <c r="N26" t="s">
        <v>24</v>
      </c>
      <c r="O26" t="s">
        <v>92</v>
      </c>
      <c r="P26" t="s">
        <v>26</v>
      </c>
    </row>
    <row r="27" spans="1:16" x14ac:dyDescent="0.3">
      <c r="A27" t="s">
        <v>93</v>
      </c>
      <c r="B27">
        <v>43</v>
      </c>
      <c r="C27" t="s">
        <v>17</v>
      </c>
      <c r="D27" t="s">
        <v>18</v>
      </c>
      <c r="E27">
        <v>78434</v>
      </c>
      <c r="F27" t="s">
        <v>59</v>
      </c>
      <c r="G27">
        <v>4</v>
      </c>
      <c r="H27">
        <v>2572</v>
      </c>
      <c r="I27">
        <v>10288</v>
      </c>
      <c r="J27" t="s">
        <v>48</v>
      </c>
      <c r="K27" t="s">
        <v>30</v>
      </c>
      <c r="L27" t="s">
        <v>22</v>
      </c>
      <c r="M27" t="s">
        <v>24</v>
      </c>
      <c r="N27" t="s">
        <v>32</v>
      </c>
      <c r="O27" t="s">
        <v>94</v>
      </c>
      <c r="P27" t="s">
        <v>26</v>
      </c>
    </row>
    <row r="28" spans="1:16" x14ac:dyDescent="0.3">
      <c r="A28" t="s">
        <v>95</v>
      </c>
      <c r="B28">
        <v>27</v>
      </c>
      <c r="C28" t="s">
        <v>17</v>
      </c>
      <c r="D28" t="s">
        <v>36</v>
      </c>
      <c r="E28">
        <v>45129</v>
      </c>
      <c r="F28" t="s">
        <v>19</v>
      </c>
      <c r="G28">
        <v>1</v>
      </c>
      <c r="H28">
        <v>3235</v>
      </c>
      <c r="I28">
        <v>3235</v>
      </c>
      <c r="J28" t="s">
        <v>20</v>
      </c>
      <c r="K28" t="s">
        <v>21</v>
      </c>
      <c r="L28" t="s">
        <v>22</v>
      </c>
      <c r="M28" t="s">
        <v>23</v>
      </c>
      <c r="N28" t="s">
        <v>24</v>
      </c>
      <c r="O28" t="s">
        <v>96</v>
      </c>
      <c r="P28" t="s">
        <v>26</v>
      </c>
    </row>
    <row r="29" spans="1:16" x14ac:dyDescent="0.3">
      <c r="A29" t="s">
        <v>97</v>
      </c>
      <c r="B29">
        <v>37</v>
      </c>
      <c r="C29" t="s">
        <v>35</v>
      </c>
      <c r="D29" t="s">
        <v>36</v>
      </c>
      <c r="E29">
        <v>148664</v>
      </c>
      <c r="F29" t="s">
        <v>19</v>
      </c>
      <c r="G29">
        <v>4</v>
      </c>
      <c r="H29">
        <v>3439</v>
      </c>
      <c r="I29">
        <v>13756</v>
      </c>
      <c r="J29" t="s">
        <v>44</v>
      </c>
      <c r="K29" t="s">
        <v>30</v>
      </c>
      <c r="L29" t="s">
        <v>22</v>
      </c>
      <c r="M29" t="s">
        <v>24</v>
      </c>
      <c r="N29" t="s">
        <v>32</v>
      </c>
      <c r="O29" t="s">
        <v>98</v>
      </c>
      <c r="P29" t="s">
        <v>26</v>
      </c>
    </row>
    <row r="30" spans="1:16" x14ac:dyDescent="0.3">
      <c r="A30" t="s">
        <v>99</v>
      </c>
      <c r="B30">
        <v>37</v>
      </c>
      <c r="C30" t="s">
        <v>17</v>
      </c>
      <c r="D30" t="s">
        <v>42</v>
      </c>
      <c r="E30">
        <v>87912</v>
      </c>
      <c r="F30" t="s">
        <v>43</v>
      </c>
      <c r="G30">
        <v>1</v>
      </c>
      <c r="H30">
        <v>1866</v>
      </c>
      <c r="I30">
        <v>1866</v>
      </c>
      <c r="J30" t="s">
        <v>56</v>
      </c>
      <c r="K30" t="s">
        <v>21</v>
      </c>
      <c r="L30" t="s">
        <v>31</v>
      </c>
      <c r="M30" t="s">
        <v>32</v>
      </c>
      <c r="N30" t="s">
        <v>23</v>
      </c>
      <c r="O30" t="s">
        <v>92</v>
      </c>
      <c r="P30" t="s">
        <v>46</v>
      </c>
    </row>
    <row r="31" spans="1:16" x14ac:dyDescent="0.3">
      <c r="A31" t="s">
        <v>100</v>
      </c>
      <c r="B31">
        <v>30</v>
      </c>
      <c r="C31" t="s">
        <v>35</v>
      </c>
      <c r="D31" t="s">
        <v>18</v>
      </c>
      <c r="E31">
        <v>35482</v>
      </c>
      <c r="F31" t="s">
        <v>59</v>
      </c>
      <c r="G31">
        <v>3</v>
      </c>
      <c r="H31">
        <v>2734</v>
      </c>
      <c r="I31">
        <v>8202</v>
      </c>
      <c r="J31" t="s">
        <v>38</v>
      </c>
      <c r="K31" t="s">
        <v>21</v>
      </c>
      <c r="L31" t="s">
        <v>22</v>
      </c>
      <c r="M31" t="s">
        <v>32</v>
      </c>
      <c r="N31" t="s">
        <v>24</v>
      </c>
      <c r="O31" t="s">
        <v>90</v>
      </c>
      <c r="P31" t="s">
        <v>26</v>
      </c>
    </row>
    <row r="32" spans="1:16" x14ac:dyDescent="0.3">
      <c r="A32" t="s">
        <v>101</v>
      </c>
      <c r="B32">
        <v>47</v>
      </c>
      <c r="C32" t="s">
        <v>17</v>
      </c>
      <c r="D32" t="s">
        <v>18</v>
      </c>
      <c r="E32">
        <v>143325</v>
      </c>
      <c r="F32" t="s">
        <v>37</v>
      </c>
      <c r="G32">
        <v>4</v>
      </c>
      <c r="H32">
        <v>3231</v>
      </c>
      <c r="I32">
        <v>12924</v>
      </c>
      <c r="J32" t="s">
        <v>48</v>
      </c>
      <c r="K32" t="s">
        <v>30</v>
      </c>
      <c r="L32" t="s">
        <v>31</v>
      </c>
      <c r="M32" t="s">
        <v>32</v>
      </c>
      <c r="N32" t="s">
        <v>24</v>
      </c>
      <c r="O32" t="s">
        <v>102</v>
      </c>
      <c r="P32" t="s">
        <v>26</v>
      </c>
    </row>
    <row r="33" spans="1:16" x14ac:dyDescent="0.3">
      <c r="A33" t="s">
        <v>103</v>
      </c>
      <c r="B33">
        <v>36</v>
      </c>
      <c r="C33" t="s">
        <v>35</v>
      </c>
      <c r="D33" t="s">
        <v>18</v>
      </c>
      <c r="E33">
        <v>133202</v>
      </c>
      <c r="F33" t="s">
        <v>29</v>
      </c>
      <c r="G33">
        <v>6</v>
      </c>
      <c r="H33">
        <v>3704</v>
      </c>
      <c r="I33">
        <v>22224</v>
      </c>
      <c r="J33" t="s">
        <v>44</v>
      </c>
      <c r="K33" t="s">
        <v>30</v>
      </c>
      <c r="L33" t="s">
        <v>31</v>
      </c>
      <c r="M33" t="s">
        <v>24</v>
      </c>
      <c r="N33" t="s">
        <v>23</v>
      </c>
      <c r="O33" t="s">
        <v>104</v>
      </c>
      <c r="P33" t="s">
        <v>40</v>
      </c>
    </row>
    <row r="34" spans="1:16" x14ac:dyDescent="0.3">
      <c r="A34" t="s">
        <v>105</v>
      </c>
      <c r="B34">
        <v>40</v>
      </c>
      <c r="C34" t="s">
        <v>17</v>
      </c>
      <c r="D34" t="s">
        <v>18</v>
      </c>
      <c r="E34">
        <v>33101</v>
      </c>
      <c r="F34" t="s">
        <v>29</v>
      </c>
      <c r="G34">
        <v>4</v>
      </c>
      <c r="H34">
        <v>1317</v>
      </c>
      <c r="I34">
        <v>5268</v>
      </c>
      <c r="J34" t="s">
        <v>48</v>
      </c>
      <c r="K34" t="s">
        <v>30</v>
      </c>
      <c r="L34" t="s">
        <v>22</v>
      </c>
      <c r="M34" t="s">
        <v>24</v>
      </c>
      <c r="N34" t="s">
        <v>24</v>
      </c>
      <c r="O34" t="s">
        <v>106</v>
      </c>
      <c r="P34" t="s">
        <v>26</v>
      </c>
    </row>
    <row r="35" spans="1:16" x14ac:dyDescent="0.3">
      <c r="A35" t="s">
        <v>107</v>
      </c>
      <c r="B35">
        <v>53</v>
      </c>
      <c r="C35" t="s">
        <v>35</v>
      </c>
      <c r="D35" t="s">
        <v>42</v>
      </c>
      <c r="E35">
        <v>140580</v>
      </c>
      <c r="F35" t="s">
        <v>43</v>
      </c>
      <c r="G35">
        <v>2</v>
      </c>
      <c r="H35">
        <v>3667</v>
      </c>
      <c r="I35">
        <v>7334</v>
      </c>
      <c r="J35" t="s">
        <v>38</v>
      </c>
      <c r="K35" t="s">
        <v>21</v>
      </c>
      <c r="L35" t="s">
        <v>31</v>
      </c>
      <c r="M35" t="s">
        <v>24</v>
      </c>
      <c r="N35" t="s">
        <v>24</v>
      </c>
      <c r="O35" t="s">
        <v>108</v>
      </c>
      <c r="P35" t="s">
        <v>26</v>
      </c>
    </row>
    <row r="36" spans="1:16" x14ac:dyDescent="0.3">
      <c r="A36" t="s">
        <v>109</v>
      </c>
      <c r="B36">
        <v>27</v>
      </c>
      <c r="C36" t="s">
        <v>35</v>
      </c>
      <c r="D36" t="s">
        <v>36</v>
      </c>
      <c r="E36">
        <v>125491</v>
      </c>
      <c r="F36" t="s">
        <v>59</v>
      </c>
      <c r="G36">
        <v>3</v>
      </c>
      <c r="H36">
        <v>2878</v>
      </c>
      <c r="I36">
        <v>8634</v>
      </c>
      <c r="J36" t="s">
        <v>56</v>
      </c>
      <c r="K36" t="s">
        <v>21</v>
      </c>
      <c r="L36" t="s">
        <v>22</v>
      </c>
      <c r="M36" t="s">
        <v>24</v>
      </c>
      <c r="N36" t="s">
        <v>32</v>
      </c>
      <c r="O36" t="s">
        <v>110</v>
      </c>
      <c r="P36" t="s">
        <v>26</v>
      </c>
    </row>
    <row r="37" spans="1:16" x14ac:dyDescent="0.3">
      <c r="A37" t="s">
        <v>111</v>
      </c>
      <c r="B37">
        <v>48</v>
      </c>
      <c r="C37" t="s">
        <v>17</v>
      </c>
      <c r="D37" t="s">
        <v>28</v>
      </c>
      <c r="E37">
        <v>135710</v>
      </c>
      <c r="F37" t="s">
        <v>43</v>
      </c>
      <c r="G37">
        <v>4</v>
      </c>
      <c r="H37">
        <v>1543</v>
      </c>
      <c r="I37">
        <v>6172</v>
      </c>
      <c r="J37" t="s">
        <v>48</v>
      </c>
      <c r="K37" t="s">
        <v>30</v>
      </c>
      <c r="L37" t="s">
        <v>22</v>
      </c>
      <c r="M37" t="s">
        <v>32</v>
      </c>
      <c r="N37" t="s">
        <v>23</v>
      </c>
      <c r="O37" t="s">
        <v>76</v>
      </c>
      <c r="P37" t="s">
        <v>46</v>
      </c>
    </row>
    <row r="38" spans="1:16" x14ac:dyDescent="0.3">
      <c r="A38" t="s">
        <v>112</v>
      </c>
      <c r="B38">
        <v>28</v>
      </c>
      <c r="C38" t="s">
        <v>35</v>
      </c>
      <c r="D38" t="s">
        <v>28</v>
      </c>
      <c r="E38">
        <v>70538</v>
      </c>
      <c r="F38" t="s">
        <v>29</v>
      </c>
      <c r="G38">
        <v>6</v>
      </c>
      <c r="H38">
        <v>3052</v>
      </c>
      <c r="I38">
        <v>18312</v>
      </c>
      <c r="J38" t="s">
        <v>56</v>
      </c>
      <c r="K38" t="s">
        <v>30</v>
      </c>
      <c r="L38" t="s">
        <v>22</v>
      </c>
      <c r="M38" t="s">
        <v>24</v>
      </c>
      <c r="N38" t="s">
        <v>23</v>
      </c>
      <c r="O38" t="s">
        <v>113</v>
      </c>
      <c r="P38" t="s">
        <v>40</v>
      </c>
    </row>
    <row r="39" spans="1:16" x14ac:dyDescent="0.3">
      <c r="A39" t="s">
        <v>114</v>
      </c>
      <c r="B39">
        <v>47</v>
      </c>
      <c r="C39" t="s">
        <v>35</v>
      </c>
      <c r="D39" t="s">
        <v>42</v>
      </c>
      <c r="E39">
        <v>128059</v>
      </c>
      <c r="F39" t="s">
        <v>37</v>
      </c>
      <c r="G39">
        <v>5</v>
      </c>
      <c r="H39">
        <v>2770</v>
      </c>
      <c r="I39">
        <v>13850</v>
      </c>
      <c r="J39" t="s">
        <v>20</v>
      </c>
      <c r="K39" t="s">
        <v>30</v>
      </c>
      <c r="L39" t="s">
        <v>22</v>
      </c>
      <c r="M39" t="s">
        <v>32</v>
      </c>
      <c r="N39" t="s">
        <v>32</v>
      </c>
      <c r="O39" t="s">
        <v>45</v>
      </c>
      <c r="P39" t="s">
        <v>26</v>
      </c>
    </row>
    <row r="40" spans="1:16" x14ac:dyDescent="0.3">
      <c r="A40" t="s">
        <v>115</v>
      </c>
      <c r="B40">
        <v>48</v>
      </c>
      <c r="C40" t="s">
        <v>35</v>
      </c>
      <c r="D40" t="s">
        <v>73</v>
      </c>
      <c r="E40">
        <v>87905</v>
      </c>
      <c r="F40" t="s">
        <v>55</v>
      </c>
      <c r="G40">
        <v>1</v>
      </c>
      <c r="H40">
        <v>1744</v>
      </c>
      <c r="I40">
        <v>1744</v>
      </c>
      <c r="J40" t="s">
        <v>48</v>
      </c>
      <c r="K40" t="s">
        <v>30</v>
      </c>
      <c r="L40" t="s">
        <v>31</v>
      </c>
      <c r="M40" t="s">
        <v>24</v>
      </c>
      <c r="N40" t="s">
        <v>32</v>
      </c>
      <c r="O40" t="s">
        <v>116</v>
      </c>
      <c r="P40" t="s">
        <v>26</v>
      </c>
    </row>
    <row r="41" spans="1:16" x14ac:dyDescent="0.3">
      <c r="A41" t="s">
        <v>117</v>
      </c>
      <c r="B41">
        <v>42</v>
      </c>
      <c r="C41" t="s">
        <v>17</v>
      </c>
      <c r="D41" t="s">
        <v>18</v>
      </c>
      <c r="E41">
        <v>118184</v>
      </c>
      <c r="F41" t="s">
        <v>59</v>
      </c>
      <c r="G41">
        <v>2</v>
      </c>
      <c r="H41">
        <v>1662</v>
      </c>
      <c r="I41">
        <v>3324</v>
      </c>
      <c r="J41" t="s">
        <v>48</v>
      </c>
      <c r="K41" t="s">
        <v>21</v>
      </c>
      <c r="L41" t="s">
        <v>31</v>
      </c>
      <c r="M41" t="s">
        <v>23</v>
      </c>
      <c r="N41" t="s">
        <v>23</v>
      </c>
      <c r="O41" t="s">
        <v>118</v>
      </c>
      <c r="P41" t="s">
        <v>46</v>
      </c>
    </row>
    <row r="42" spans="1:16" x14ac:dyDescent="0.3">
      <c r="A42" t="s">
        <v>119</v>
      </c>
      <c r="B42">
        <v>25</v>
      </c>
      <c r="C42" t="s">
        <v>35</v>
      </c>
      <c r="D42" t="s">
        <v>73</v>
      </c>
      <c r="E42">
        <v>146147</v>
      </c>
      <c r="F42" t="s">
        <v>29</v>
      </c>
      <c r="G42">
        <v>1</v>
      </c>
      <c r="H42">
        <v>1502</v>
      </c>
      <c r="I42">
        <v>1502</v>
      </c>
      <c r="J42" t="s">
        <v>20</v>
      </c>
      <c r="K42" t="s">
        <v>21</v>
      </c>
      <c r="L42" t="s">
        <v>22</v>
      </c>
      <c r="M42" t="s">
        <v>24</v>
      </c>
      <c r="N42" t="s">
        <v>23</v>
      </c>
      <c r="O42" t="s">
        <v>120</v>
      </c>
      <c r="P42" t="s">
        <v>46</v>
      </c>
    </row>
    <row r="43" spans="1:16" x14ac:dyDescent="0.3">
      <c r="A43" t="s">
        <v>121</v>
      </c>
      <c r="B43">
        <v>21</v>
      </c>
      <c r="C43" t="s">
        <v>17</v>
      </c>
      <c r="D43" t="s">
        <v>73</v>
      </c>
      <c r="E43">
        <v>58683</v>
      </c>
      <c r="F43" t="s">
        <v>37</v>
      </c>
      <c r="G43">
        <v>7</v>
      </c>
      <c r="H43">
        <v>1499</v>
      </c>
      <c r="I43">
        <v>10493</v>
      </c>
      <c r="J43" t="s">
        <v>20</v>
      </c>
      <c r="K43" t="s">
        <v>30</v>
      </c>
      <c r="L43" t="s">
        <v>31</v>
      </c>
      <c r="M43" t="s">
        <v>32</v>
      </c>
      <c r="N43" t="s">
        <v>23</v>
      </c>
      <c r="O43" t="s">
        <v>122</v>
      </c>
      <c r="P43" t="s">
        <v>46</v>
      </c>
    </row>
    <row r="44" spans="1:16" x14ac:dyDescent="0.3">
      <c r="A44" t="s">
        <v>123</v>
      </c>
      <c r="B44">
        <v>29</v>
      </c>
      <c r="C44" t="s">
        <v>35</v>
      </c>
      <c r="D44" t="s">
        <v>42</v>
      </c>
      <c r="E44">
        <v>99616</v>
      </c>
      <c r="F44" t="s">
        <v>43</v>
      </c>
      <c r="G44">
        <v>4</v>
      </c>
      <c r="H44">
        <v>3974</v>
      </c>
      <c r="I44">
        <v>15896</v>
      </c>
      <c r="J44" t="s">
        <v>20</v>
      </c>
      <c r="K44" t="s">
        <v>30</v>
      </c>
      <c r="L44" t="s">
        <v>22</v>
      </c>
      <c r="M44" t="s">
        <v>32</v>
      </c>
      <c r="N44" t="s">
        <v>24</v>
      </c>
      <c r="O44" t="s">
        <v>94</v>
      </c>
      <c r="P44" t="s">
        <v>40</v>
      </c>
    </row>
    <row r="45" spans="1:16" x14ac:dyDescent="0.3">
      <c r="A45" t="s">
        <v>124</v>
      </c>
      <c r="B45">
        <v>31</v>
      </c>
      <c r="C45" t="s">
        <v>35</v>
      </c>
      <c r="D45" t="s">
        <v>73</v>
      </c>
      <c r="E45">
        <v>63972</v>
      </c>
      <c r="F45" t="s">
        <v>37</v>
      </c>
      <c r="G45">
        <v>7</v>
      </c>
      <c r="H45">
        <v>3902</v>
      </c>
      <c r="I45">
        <v>27314</v>
      </c>
      <c r="J45" t="s">
        <v>38</v>
      </c>
      <c r="K45" t="s">
        <v>30</v>
      </c>
      <c r="L45" t="s">
        <v>31</v>
      </c>
      <c r="M45" t="s">
        <v>23</v>
      </c>
      <c r="N45" t="s">
        <v>24</v>
      </c>
      <c r="O45" t="s">
        <v>106</v>
      </c>
      <c r="P45" t="s">
        <v>40</v>
      </c>
    </row>
    <row r="46" spans="1:16" x14ac:dyDescent="0.3">
      <c r="A46" t="s">
        <v>125</v>
      </c>
      <c r="B46">
        <v>36</v>
      </c>
      <c r="C46" t="s">
        <v>35</v>
      </c>
      <c r="D46" t="s">
        <v>36</v>
      </c>
      <c r="E46">
        <v>71904</v>
      </c>
      <c r="F46" t="s">
        <v>43</v>
      </c>
      <c r="G46">
        <v>8</v>
      </c>
      <c r="H46">
        <v>817</v>
      </c>
      <c r="I46">
        <v>6536</v>
      </c>
      <c r="J46" t="s">
        <v>44</v>
      </c>
      <c r="K46" t="s">
        <v>21</v>
      </c>
      <c r="L46" t="s">
        <v>31</v>
      </c>
      <c r="M46" t="s">
        <v>23</v>
      </c>
      <c r="N46" t="s">
        <v>24</v>
      </c>
      <c r="O46" t="s">
        <v>49</v>
      </c>
      <c r="P46" t="s">
        <v>61</v>
      </c>
    </row>
    <row r="47" spans="1:16" x14ac:dyDescent="0.3">
      <c r="A47" t="s">
        <v>126</v>
      </c>
      <c r="B47">
        <v>34</v>
      </c>
      <c r="C47" t="s">
        <v>17</v>
      </c>
      <c r="D47" t="s">
        <v>73</v>
      </c>
      <c r="E47">
        <v>83424</v>
      </c>
      <c r="F47" t="s">
        <v>59</v>
      </c>
      <c r="G47">
        <v>7</v>
      </c>
      <c r="H47">
        <v>3342</v>
      </c>
      <c r="I47">
        <v>23394</v>
      </c>
      <c r="J47" t="s">
        <v>20</v>
      </c>
      <c r="K47" t="s">
        <v>30</v>
      </c>
      <c r="L47" t="s">
        <v>22</v>
      </c>
      <c r="M47" t="s">
        <v>32</v>
      </c>
      <c r="N47" t="s">
        <v>23</v>
      </c>
      <c r="O47" t="s">
        <v>86</v>
      </c>
      <c r="P47" t="s">
        <v>40</v>
      </c>
    </row>
    <row r="48" spans="1:16" x14ac:dyDescent="0.3">
      <c r="A48" t="s">
        <v>127</v>
      </c>
      <c r="B48">
        <v>22</v>
      </c>
      <c r="C48" t="s">
        <v>35</v>
      </c>
      <c r="D48" t="s">
        <v>73</v>
      </c>
      <c r="E48">
        <v>30772</v>
      </c>
      <c r="F48" t="s">
        <v>59</v>
      </c>
      <c r="G48">
        <v>4</v>
      </c>
      <c r="H48">
        <v>3911</v>
      </c>
      <c r="I48">
        <v>15644</v>
      </c>
      <c r="J48" t="s">
        <v>38</v>
      </c>
      <c r="K48" t="s">
        <v>30</v>
      </c>
      <c r="L48" t="s">
        <v>22</v>
      </c>
      <c r="M48" t="s">
        <v>24</v>
      </c>
      <c r="N48" t="s">
        <v>24</v>
      </c>
      <c r="O48" t="s">
        <v>51</v>
      </c>
      <c r="P48" t="s">
        <v>40</v>
      </c>
    </row>
    <row r="49" spans="1:16" x14ac:dyDescent="0.3">
      <c r="A49" t="s">
        <v>128</v>
      </c>
      <c r="B49">
        <v>48</v>
      </c>
      <c r="C49" t="s">
        <v>35</v>
      </c>
      <c r="D49" t="s">
        <v>68</v>
      </c>
      <c r="E49">
        <v>80968</v>
      </c>
      <c r="F49" t="s">
        <v>59</v>
      </c>
      <c r="G49">
        <v>4</v>
      </c>
      <c r="H49">
        <v>2499</v>
      </c>
      <c r="I49">
        <v>9996</v>
      </c>
      <c r="J49" t="s">
        <v>56</v>
      </c>
      <c r="K49" t="s">
        <v>21</v>
      </c>
      <c r="L49" t="s">
        <v>22</v>
      </c>
      <c r="M49" t="s">
        <v>32</v>
      </c>
      <c r="N49" t="s">
        <v>24</v>
      </c>
      <c r="O49" t="s">
        <v>129</v>
      </c>
      <c r="P49" t="s">
        <v>26</v>
      </c>
    </row>
    <row r="50" spans="1:16" x14ac:dyDescent="0.3">
      <c r="A50" t="s">
        <v>130</v>
      </c>
      <c r="B50">
        <v>22</v>
      </c>
      <c r="C50" t="s">
        <v>17</v>
      </c>
      <c r="D50" t="s">
        <v>42</v>
      </c>
      <c r="E50">
        <v>86179</v>
      </c>
      <c r="F50" t="s">
        <v>37</v>
      </c>
      <c r="G50">
        <v>1</v>
      </c>
      <c r="H50">
        <v>2113</v>
      </c>
      <c r="I50">
        <v>2113</v>
      </c>
      <c r="J50" t="s">
        <v>56</v>
      </c>
      <c r="K50" t="s">
        <v>21</v>
      </c>
      <c r="L50" t="s">
        <v>31</v>
      </c>
      <c r="M50" t="s">
        <v>23</v>
      </c>
      <c r="N50" t="s">
        <v>23</v>
      </c>
      <c r="O50" t="s">
        <v>108</v>
      </c>
      <c r="P50" t="s">
        <v>46</v>
      </c>
    </row>
    <row r="51" spans="1:16" x14ac:dyDescent="0.3">
      <c r="A51" t="s">
        <v>131</v>
      </c>
      <c r="B51">
        <v>41</v>
      </c>
      <c r="C51" t="s">
        <v>35</v>
      </c>
      <c r="D51" t="s">
        <v>73</v>
      </c>
      <c r="E51">
        <v>66471</v>
      </c>
      <c r="F51" t="s">
        <v>55</v>
      </c>
      <c r="G51">
        <v>7</v>
      </c>
      <c r="H51">
        <v>1840</v>
      </c>
      <c r="I51">
        <v>12880</v>
      </c>
      <c r="J51" t="s">
        <v>38</v>
      </c>
      <c r="K51" t="s">
        <v>21</v>
      </c>
      <c r="L51" t="s">
        <v>22</v>
      </c>
      <c r="M51" t="s">
        <v>32</v>
      </c>
      <c r="N51" t="s">
        <v>24</v>
      </c>
      <c r="O51" t="s">
        <v>132</v>
      </c>
      <c r="P51" t="s">
        <v>26</v>
      </c>
    </row>
    <row r="52" spans="1:16" x14ac:dyDescent="0.3">
      <c r="A52" t="s">
        <v>133</v>
      </c>
      <c r="B52">
        <v>25</v>
      </c>
      <c r="C52" t="s">
        <v>17</v>
      </c>
      <c r="D52" t="s">
        <v>68</v>
      </c>
      <c r="E52">
        <v>62411</v>
      </c>
      <c r="F52" t="s">
        <v>37</v>
      </c>
      <c r="G52">
        <v>1</v>
      </c>
      <c r="H52">
        <v>1933</v>
      </c>
      <c r="I52">
        <v>1933</v>
      </c>
      <c r="J52" t="s">
        <v>44</v>
      </c>
      <c r="K52" t="s">
        <v>21</v>
      </c>
      <c r="L52" t="s">
        <v>31</v>
      </c>
      <c r="M52" t="s">
        <v>32</v>
      </c>
      <c r="N52" t="s">
        <v>23</v>
      </c>
      <c r="O52" t="s">
        <v>129</v>
      </c>
      <c r="P52" t="s">
        <v>46</v>
      </c>
    </row>
    <row r="53" spans="1:16" x14ac:dyDescent="0.3">
      <c r="A53" t="s">
        <v>134</v>
      </c>
      <c r="B53">
        <v>34</v>
      </c>
      <c r="C53" t="s">
        <v>35</v>
      </c>
      <c r="D53" t="s">
        <v>42</v>
      </c>
      <c r="E53">
        <v>63586</v>
      </c>
      <c r="F53" t="s">
        <v>59</v>
      </c>
      <c r="G53">
        <v>8</v>
      </c>
      <c r="H53">
        <v>3242</v>
      </c>
      <c r="I53">
        <v>25936</v>
      </c>
      <c r="J53" t="s">
        <v>48</v>
      </c>
      <c r="K53" t="s">
        <v>21</v>
      </c>
      <c r="L53" t="s">
        <v>31</v>
      </c>
      <c r="M53" t="s">
        <v>32</v>
      </c>
      <c r="N53" t="s">
        <v>23</v>
      </c>
      <c r="O53" t="s">
        <v>135</v>
      </c>
      <c r="P53" t="s">
        <v>40</v>
      </c>
    </row>
    <row r="54" spans="1:16" x14ac:dyDescent="0.3">
      <c r="A54" t="s">
        <v>136</v>
      </c>
      <c r="B54">
        <v>45</v>
      </c>
      <c r="C54" t="s">
        <v>35</v>
      </c>
      <c r="D54" t="s">
        <v>42</v>
      </c>
      <c r="E54">
        <v>55995</v>
      </c>
      <c r="F54" t="s">
        <v>19</v>
      </c>
      <c r="G54">
        <v>2</v>
      </c>
      <c r="H54">
        <v>2870</v>
      </c>
      <c r="I54">
        <v>5740</v>
      </c>
      <c r="J54" t="s">
        <v>20</v>
      </c>
      <c r="K54" t="s">
        <v>21</v>
      </c>
      <c r="L54" t="s">
        <v>31</v>
      </c>
      <c r="M54" t="s">
        <v>32</v>
      </c>
      <c r="N54" t="s">
        <v>24</v>
      </c>
      <c r="O54" t="s">
        <v>113</v>
      </c>
      <c r="P54" t="s">
        <v>26</v>
      </c>
    </row>
    <row r="55" spans="1:16" x14ac:dyDescent="0.3">
      <c r="A55" t="s">
        <v>137</v>
      </c>
      <c r="B55">
        <v>28</v>
      </c>
      <c r="C55" t="s">
        <v>17</v>
      </c>
      <c r="D55" t="s">
        <v>36</v>
      </c>
      <c r="E55">
        <v>99827</v>
      </c>
      <c r="F55" t="s">
        <v>55</v>
      </c>
      <c r="G55">
        <v>5</v>
      </c>
      <c r="H55">
        <v>3982</v>
      </c>
      <c r="I55">
        <v>19910</v>
      </c>
      <c r="J55" t="s">
        <v>38</v>
      </c>
      <c r="K55" t="s">
        <v>21</v>
      </c>
      <c r="L55" t="s">
        <v>22</v>
      </c>
      <c r="M55" t="s">
        <v>23</v>
      </c>
      <c r="N55" t="s">
        <v>23</v>
      </c>
      <c r="O55" t="s">
        <v>138</v>
      </c>
      <c r="P55" t="s">
        <v>40</v>
      </c>
    </row>
    <row r="56" spans="1:16" x14ac:dyDescent="0.3">
      <c r="A56" t="s">
        <v>139</v>
      </c>
      <c r="B56">
        <v>48</v>
      </c>
      <c r="C56" t="s">
        <v>35</v>
      </c>
      <c r="D56" t="s">
        <v>42</v>
      </c>
      <c r="E56">
        <v>146860</v>
      </c>
      <c r="F56" t="s">
        <v>55</v>
      </c>
      <c r="G56">
        <v>7</v>
      </c>
      <c r="H56">
        <v>3868</v>
      </c>
      <c r="I56">
        <v>27076</v>
      </c>
      <c r="J56" t="s">
        <v>48</v>
      </c>
      <c r="K56" t="s">
        <v>30</v>
      </c>
      <c r="L56" t="s">
        <v>31</v>
      </c>
      <c r="M56" t="s">
        <v>24</v>
      </c>
      <c r="N56" t="s">
        <v>32</v>
      </c>
      <c r="O56" t="s">
        <v>140</v>
      </c>
      <c r="P56" t="s">
        <v>40</v>
      </c>
    </row>
    <row r="57" spans="1:16" x14ac:dyDescent="0.3">
      <c r="A57" t="s">
        <v>141</v>
      </c>
      <c r="B57">
        <v>50</v>
      </c>
      <c r="C57" t="s">
        <v>35</v>
      </c>
      <c r="D57" t="s">
        <v>42</v>
      </c>
      <c r="E57">
        <v>107656</v>
      </c>
      <c r="F57" t="s">
        <v>59</v>
      </c>
      <c r="G57">
        <v>5</v>
      </c>
      <c r="H57">
        <v>3022</v>
      </c>
      <c r="I57">
        <v>15110</v>
      </c>
      <c r="J57" t="s">
        <v>38</v>
      </c>
      <c r="K57" t="s">
        <v>21</v>
      </c>
      <c r="L57" t="s">
        <v>31</v>
      </c>
      <c r="M57" t="s">
        <v>23</v>
      </c>
      <c r="N57" t="s">
        <v>24</v>
      </c>
      <c r="O57" t="s">
        <v>106</v>
      </c>
      <c r="P57" t="s">
        <v>40</v>
      </c>
    </row>
    <row r="58" spans="1:16" x14ac:dyDescent="0.3">
      <c r="A58" t="s">
        <v>142</v>
      </c>
      <c r="B58">
        <v>45</v>
      </c>
      <c r="C58" t="s">
        <v>35</v>
      </c>
      <c r="D58" t="s">
        <v>68</v>
      </c>
      <c r="E58">
        <v>94789</v>
      </c>
      <c r="F58" t="s">
        <v>59</v>
      </c>
      <c r="G58">
        <v>8</v>
      </c>
      <c r="H58">
        <v>1498</v>
      </c>
      <c r="I58">
        <v>11984</v>
      </c>
      <c r="J58" t="s">
        <v>48</v>
      </c>
      <c r="K58" t="s">
        <v>30</v>
      </c>
      <c r="L58" t="s">
        <v>31</v>
      </c>
      <c r="M58" t="s">
        <v>24</v>
      </c>
      <c r="N58" t="s">
        <v>23</v>
      </c>
      <c r="O58" t="s">
        <v>143</v>
      </c>
      <c r="P58" t="s">
        <v>46</v>
      </c>
    </row>
    <row r="59" spans="1:16" x14ac:dyDescent="0.3">
      <c r="A59" t="s">
        <v>144</v>
      </c>
      <c r="B59">
        <v>38</v>
      </c>
      <c r="C59" t="s">
        <v>17</v>
      </c>
      <c r="D59" t="s">
        <v>28</v>
      </c>
      <c r="E59">
        <v>55042</v>
      </c>
      <c r="F59" t="s">
        <v>19</v>
      </c>
      <c r="G59">
        <v>5</v>
      </c>
      <c r="H59">
        <v>1894</v>
      </c>
      <c r="I59">
        <v>9470</v>
      </c>
      <c r="J59" t="s">
        <v>48</v>
      </c>
      <c r="K59" t="s">
        <v>30</v>
      </c>
      <c r="L59" t="s">
        <v>22</v>
      </c>
      <c r="M59" t="s">
        <v>24</v>
      </c>
      <c r="N59" t="s">
        <v>23</v>
      </c>
      <c r="O59" t="s">
        <v>122</v>
      </c>
      <c r="P59" t="s">
        <v>46</v>
      </c>
    </row>
    <row r="60" spans="1:16" x14ac:dyDescent="0.3">
      <c r="A60" t="s">
        <v>145</v>
      </c>
      <c r="B60">
        <v>52</v>
      </c>
      <c r="C60" t="s">
        <v>35</v>
      </c>
      <c r="D60" t="s">
        <v>68</v>
      </c>
      <c r="E60">
        <v>42196</v>
      </c>
      <c r="F60" t="s">
        <v>59</v>
      </c>
      <c r="G60">
        <v>4</v>
      </c>
      <c r="H60">
        <v>3328</v>
      </c>
      <c r="I60">
        <v>13312</v>
      </c>
      <c r="J60" t="s">
        <v>48</v>
      </c>
      <c r="K60" t="s">
        <v>30</v>
      </c>
      <c r="L60" t="s">
        <v>31</v>
      </c>
      <c r="M60" t="s">
        <v>24</v>
      </c>
      <c r="N60" t="s">
        <v>23</v>
      </c>
      <c r="O60" t="s">
        <v>135</v>
      </c>
      <c r="P60" t="s">
        <v>46</v>
      </c>
    </row>
    <row r="61" spans="1:16" x14ac:dyDescent="0.3">
      <c r="A61" t="s">
        <v>146</v>
      </c>
      <c r="B61">
        <v>43</v>
      </c>
      <c r="C61" t="s">
        <v>35</v>
      </c>
      <c r="D61" t="s">
        <v>42</v>
      </c>
      <c r="E61">
        <v>102140</v>
      </c>
      <c r="F61" t="s">
        <v>59</v>
      </c>
      <c r="G61">
        <v>6</v>
      </c>
      <c r="H61">
        <v>2438</v>
      </c>
      <c r="I61">
        <v>14628</v>
      </c>
      <c r="J61" t="s">
        <v>38</v>
      </c>
      <c r="K61" t="s">
        <v>30</v>
      </c>
      <c r="L61" t="s">
        <v>22</v>
      </c>
      <c r="M61" t="s">
        <v>23</v>
      </c>
      <c r="N61" t="s">
        <v>23</v>
      </c>
      <c r="O61" t="s">
        <v>135</v>
      </c>
      <c r="P61" t="s">
        <v>61</v>
      </c>
    </row>
    <row r="62" spans="1:16" x14ac:dyDescent="0.3">
      <c r="A62" t="s">
        <v>147</v>
      </c>
      <c r="B62">
        <v>33</v>
      </c>
      <c r="C62" t="s">
        <v>35</v>
      </c>
      <c r="D62" t="s">
        <v>68</v>
      </c>
      <c r="E62">
        <v>127370</v>
      </c>
      <c r="F62" t="s">
        <v>43</v>
      </c>
      <c r="G62">
        <v>5</v>
      </c>
      <c r="H62">
        <v>1444</v>
      </c>
      <c r="I62">
        <v>7220</v>
      </c>
      <c r="J62" t="s">
        <v>48</v>
      </c>
      <c r="K62" t="s">
        <v>21</v>
      </c>
      <c r="L62" t="s">
        <v>31</v>
      </c>
      <c r="M62" t="s">
        <v>32</v>
      </c>
      <c r="N62" t="s">
        <v>23</v>
      </c>
      <c r="O62" t="s">
        <v>148</v>
      </c>
      <c r="P62" t="s">
        <v>46</v>
      </c>
    </row>
    <row r="63" spans="1:16" x14ac:dyDescent="0.3">
      <c r="A63" t="s">
        <v>149</v>
      </c>
      <c r="B63">
        <v>39</v>
      </c>
      <c r="C63" t="s">
        <v>17</v>
      </c>
      <c r="D63" t="s">
        <v>18</v>
      </c>
      <c r="E63">
        <v>68829</v>
      </c>
      <c r="F63" t="s">
        <v>37</v>
      </c>
      <c r="G63">
        <v>5</v>
      </c>
      <c r="H63">
        <v>3467</v>
      </c>
      <c r="I63">
        <v>17335</v>
      </c>
      <c r="J63" t="s">
        <v>38</v>
      </c>
      <c r="K63" t="s">
        <v>21</v>
      </c>
      <c r="L63" t="s">
        <v>22</v>
      </c>
      <c r="M63" t="s">
        <v>23</v>
      </c>
      <c r="N63" t="s">
        <v>23</v>
      </c>
      <c r="O63" t="s">
        <v>138</v>
      </c>
      <c r="P63" t="s">
        <v>40</v>
      </c>
    </row>
    <row r="64" spans="1:16" x14ac:dyDescent="0.3">
      <c r="A64" t="s">
        <v>150</v>
      </c>
      <c r="B64">
        <v>39</v>
      </c>
      <c r="C64" t="s">
        <v>17</v>
      </c>
      <c r="D64" t="s">
        <v>42</v>
      </c>
      <c r="E64">
        <v>143830</v>
      </c>
      <c r="F64" t="s">
        <v>55</v>
      </c>
      <c r="G64">
        <v>3</v>
      </c>
      <c r="H64">
        <v>1623</v>
      </c>
      <c r="I64">
        <v>4869</v>
      </c>
      <c r="J64" t="s">
        <v>44</v>
      </c>
      <c r="K64" t="s">
        <v>21</v>
      </c>
      <c r="L64" t="s">
        <v>22</v>
      </c>
      <c r="M64" t="s">
        <v>32</v>
      </c>
      <c r="N64" t="s">
        <v>32</v>
      </c>
      <c r="O64" t="s">
        <v>104</v>
      </c>
      <c r="P64" t="s">
        <v>26</v>
      </c>
    </row>
    <row r="65" spans="1:16" x14ac:dyDescent="0.3">
      <c r="A65" t="s">
        <v>151</v>
      </c>
      <c r="B65">
        <v>24</v>
      </c>
      <c r="C65" t="s">
        <v>35</v>
      </c>
      <c r="D65" t="s">
        <v>73</v>
      </c>
      <c r="E65">
        <v>44953</v>
      </c>
      <c r="F65" t="s">
        <v>19</v>
      </c>
      <c r="G65">
        <v>8</v>
      </c>
      <c r="H65">
        <v>2304</v>
      </c>
      <c r="I65">
        <v>18432</v>
      </c>
      <c r="J65" t="s">
        <v>56</v>
      </c>
      <c r="K65" t="s">
        <v>30</v>
      </c>
      <c r="L65" t="s">
        <v>31</v>
      </c>
      <c r="M65" t="s">
        <v>24</v>
      </c>
      <c r="N65" t="s">
        <v>32</v>
      </c>
      <c r="O65" t="s">
        <v>110</v>
      </c>
      <c r="P65" t="s">
        <v>40</v>
      </c>
    </row>
    <row r="66" spans="1:16" x14ac:dyDescent="0.3">
      <c r="A66" t="s">
        <v>152</v>
      </c>
      <c r="B66">
        <v>40</v>
      </c>
      <c r="C66" t="s">
        <v>17</v>
      </c>
      <c r="D66" t="s">
        <v>18</v>
      </c>
      <c r="E66">
        <v>45525</v>
      </c>
      <c r="F66" t="s">
        <v>43</v>
      </c>
      <c r="G66">
        <v>1</v>
      </c>
      <c r="H66">
        <v>1121</v>
      </c>
      <c r="I66">
        <v>1121</v>
      </c>
      <c r="J66" t="s">
        <v>56</v>
      </c>
      <c r="K66" t="s">
        <v>21</v>
      </c>
      <c r="L66" t="s">
        <v>22</v>
      </c>
      <c r="M66" t="s">
        <v>32</v>
      </c>
      <c r="N66" t="s">
        <v>23</v>
      </c>
      <c r="O66" t="s">
        <v>33</v>
      </c>
      <c r="P66" t="s">
        <v>46</v>
      </c>
    </row>
    <row r="67" spans="1:16" x14ac:dyDescent="0.3">
      <c r="A67" t="s">
        <v>153</v>
      </c>
      <c r="B67">
        <v>40</v>
      </c>
      <c r="C67" t="s">
        <v>17</v>
      </c>
      <c r="D67" t="s">
        <v>28</v>
      </c>
      <c r="E67">
        <v>127004</v>
      </c>
      <c r="F67" t="s">
        <v>19</v>
      </c>
      <c r="G67">
        <v>8</v>
      </c>
      <c r="H67">
        <v>1717</v>
      </c>
      <c r="I67">
        <v>13736</v>
      </c>
      <c r="J67" t="s">
        <v>48</v>
      </c>
      <c r="K67" t="s">
        <v>21</v>
      </c>
      <c r="L67" t="s">
        <v>22</v>
      </c>
      <c r="M67" t="s">
        <v>23</v>
      </c>
      <c r="N67" t="s">
        <v>24</v>
      </c>
      <c r="O67" t="s">
        <v>116</v>
      </c>
      <c r="P67" t="s">
        <v>61</v>
      </c>
    </row>
    <row r="68" spans="1:16" x14ac:dyDescent="0.3">
      <c r="A68" t="s">
        <v>154</v>
      </c>
      <c r="B68">
        <v>25</v>
      </c>
      <c r="C68" t="s">
        <v>17</v>
      </c>
      <c r="D68" t="s">
        <v>68</v>
      </c>
      <c r="E68">
        <v>83545</v>
      </c>
      <c r="F68" t="s">
        <v>55</v>
      </c>
      <c r="G68">
        <v>2</v>
      </c>
      <c r="H68">
        <v>1143</v>
      </c>
      <c r="I68">
        <v>2286</v>
      </c>
      <c r="J68" t="s">
        <v>20</v>
      </c>
      <c r="K68" t="s">
        <v>30</v>
      </c>
      <c r="L68" t="s">
        <v>22</v>
      </c>
      <c r="M68" t="s">
        <v>32</v>
      </c>
      <c r="N68" t="s">
        <v>32</v>
      </c>
      <c r="O68" t="s">
        <v>25</v>
      </c>
      <c r="P68" t="s">
        <v>26</v>
      </c>
    </row>
    <row r="69" spans="1:16" x14ac:dyDescent="0.3">
      <c r="A69" t="s">
        <v>155</v>
      </c>
      <c r="B69">
        <v>50</v>
      </c>
      <c r="C69" t="s">
        <v>17</v>
      </c>
      <c r="D69" t="s">
        <v>42</v>
      </c>
      <c r="E69">
        <v>60595</v>
      </c>
      <c r="F69" t="s">
        <v>59</v>
      </c>
      <c r="G69">
        <v>4</v>
      </c>
      <c r="H69">
        <v>1680</v>
      </c>
      <c r="I69">
        <v>6720</v>
      </c>
      <c r="J69" t="s">
        <v>20</v>
      </c>
      <c r="K69" t="s">
        <v>21</v>
      </c>
      <c r="L69" t="s">
        <v>22</v>
      </c>
      <c r="M69" t="s">
        <v>23</v>
      </c>
      <c r="N69" t="s">
        <v>24</v>
      </c>
      <c r="O69" t="s">
        <v>156</v>
      </c>
      <c r="P69" t="s">
        <v>61</v>
      </c>
    </row>
    <row r="70" spans="1:16" x14ac:dyDescent="0.3">
      <c r="A70" t="s">
        <v>157</v>
      </c>
      <c r="B70">
        <v>30</v>
      </c>
      <c r="C70" t="s">
        <v>17</v>
      </c>
      <c r="D70" t="s">
        <v>68</v>
      </c>
      <c r="E70">
        <v>51747</v>
      </c>
      <c r="F70" t="s">
        <v>59</v>
      </c>
      <c r="G70">
        <v>4</v>
      </c>
      <c r="H70">
        <v>3152</v>
      </c>
      <c r="I70">
        <v>12608</v>
      </c>
      <c r="J70" t="s">
        <v>20</v>
      </c>
      <c r="K70" t="s">
        <v>30</v>
      </c>
      <c r="L70" t="s">
        <v>22</v>
      </c>
      <c r="M70" t="s">
        <v>32</v>
      </c>
      <c r="N70" t="s">
        <v>24</v>
      </c>
      <c r="O70" t="s">
        <v>74</v>
      </c>
      <c r="P70" t="s">
        <v>26</v>
      </c>
    </row>
    <row r="71" spans="1:16" x14ac:dyDescent="0.3">
      <c r="A71" t="s">
        <v>158</v>
      </c>
      <c r="B71">
        <v>46</v>
      </c>
      <c r="C71" t="s">
        <v>35</v>
      </c>
      <c r="D71" t="s">
        <v>28</v>
      </c>
      <c r="E71">
        <v>100776</v>
      </c>
      <c r="F71" t="s">
        <v>55</v>
      </c>
      <c r="G71">
        <v>8</v>
      </c>
      <c r="H71">
        <v>3320</v>
      </c>
      <c r="I71">
        <v>26560</v>
      </c>
      <c r="J71" t="s">
        <v>56</v>
      </c>
      <c r="K71" t="s">
        <v>21</v>
      </c>
      <c r="L71" t="s">
        <v>31</v>
      </c>
      <c r="M71" t="s">
        <v>24</v>
      </c>
      <c r="N71" t="s">
        <v>23</v>
      </c>
      <c r="O71" t="s">
        <v>159</v>
      </c>
      <c r="P71" t="s">
        <v>40</v>
      </c>
    </row>
    <row r="72" spans="1:16" x14ac:dyDescent="0.3">
      <c r="A72" t="s">
        <v>160</v>
      </c>
      <c r="B72">
        <v>26</v>
      </c>
      <c r="C72" t="s">
        <v>17</v>
      </c>
      <c r="D72" t="s">
        <v>42</v>
      </c>
      <c r="E72">
        <v>139570</v>
      </c>
      <c r="F72" t="s">
        <v>43</v>
      </c>
      <c r="G72">
        <v>6</v>
      </c>
      <c r="H72">
        <v>2972</v>
      </c>
      <c r="I72">
        <v>17832</v>
      </c>
      <c r="J72" t="s">
        <v>20</v>
      </c>
      <c r="K72" t="s">
        <v>21</v>
      </c>
      <c r="L72" t="s">
        <v>22</v>
      </c>
      <c r="M72" t="s">
        <v>24</v>
      </c>
      <c r="N72" t="s">
        <v>32</v>
      </c>
      <c r="O72" t="s">
        <v>110</v>
      </c>
      <c r="P72" t="s">
        <v>40</v>
      </c>
    </row>
    <row r="73" spans="1:16" x14ac:dyDescent="0.3">
      <c r="A73" t="s">
        <v>161</v>
      </c>
      <c r="B73">
        <v>54</v>
      </c>
      <c r="C73" t="s">
        <v>35</v>
      </c>
      <c r="D73" t="s">
        <v>36</v>
      </c>
      <c r="E73">
        <v>53788</v>
      </c>
      <c r="F73" t="s">
        <v>43</v>
      </c>
      <c r="G73">
        <v>1</v>
      </c>
      <c r="H73">
        <v>3625</v>
      </c>
      <c r="I73">
        <v>3625</v>
      </c>
      <c r="J73" t="s">
        <v>56</v>
      </c>
      <c r="K73" t="s">
        <v>30</v>
      </c>
      <c r="L73" t="s">
        <v>31</v>
      </c>
      <c r="M73" t="s">
        <v>32</v>
      </c>
      <c r="N73" t="s">
        <v>24</v>
      </c>
      <c r="O73" t="s">
        <v>104</v>
      </c>
      <c r="P73" t="s">
        <v>26</v>
      </c>
    </row>
    <row r="74" spans="1:16" x14ac:dyDescent="0.3">
      <c r="A74" t="s">
        <v>162</v>
      </c>
      <c r="B74">
        <v>27</v>
      </c>
      <c r="C74" t="s">
        <v>17</v>
      </c>
      <c r="D74" t="s">
        <v>36</v>
      </c>
      <c r="E74">
        <v>83955</v>
      </c>
      <c r="F74" t="s">
        <v>29</v>
      </c>
      <c r="G74">
        <v>6</v>
      </c>
      <c r="H74">
        <v>2172</v>
      </c>
      <c r="I74">
        <v>13032</v>
      </c>
      <c r="J74" t="s">
        <v>56</v>
      </c>
      <c r="K74" t="s">
        <v>30</v>
      </c>
      <c r="L74" t="s">
        <v>22</v>
      </c>
      <c r="M74" t="s">
        <v>24</v>
      </c>
      <c r="N74" t="s">
        <v>24</v>
      </c>
      <c r="O74" t="s">
        <v>45</v>
      </c>
      <c r="P74" t="s">
        <v>26</v>
      </c>
    </row>
    <row r="75" spans="1:16" x14ac:dyDescent="0.3">
      <c r="A75" t="s">
        <v>163</v>
      </c>
      <c r="B75">
        <v>37</v>
      </c>
      <c r="C75" t="s">
        <v>35</v>
      </c>
      <c r="D75" t="s">
        <v>68</v>
      </c>
      <c r="E75">
        <v>131259</v>
      </c>
      <c r="F75" t="s">
        <v>55</v>
      </c>
      <c r="G75">
        <v>1</v>
      </c>
      <c r="H75">
        <v>2362</v>
      </c>
      <c r="I75">
        <v>2362</v>
      </c>
      <c r="J75" t="s">
        <v>20</v>
      </c>
      <c r="K75" t="s">
        <v>21</v>
      </c>
      <c r="L75" t="s">
        <v>22</v>
      </c>
      <c r="M75" t="s">
        <v>32</v>
      </c>
      <c r="N75" t="s">
        <v>24</v>
      </c>
      <c r="O75" t="s">
        <v>164</v>
      </c>
      <c r="P75" t="s">
        <v>26</v>
      </c>
    </row>
    <row r="76" spans="1:16" x14ac:dyDescent="0.3">
      <c r="A76" t="s">
        <v>165</v>
      </c>
      <c r="B76">
        <v>52</v>
      </c>
      <c r="C76" t="s">
        <v>35</v>
      </c>
      <c r="D76" t="s">
        <v>68</v>
      </c>
      <c r="E76">
        <v>56680</v>
      </c>
      <c r="F76" t="s">
        <v>59</v>
      </c>
      <c r="G76">
        <v>1</v>
      </c>
      <c r="H76">
        <v>1268</v>
      </c>
      <c r="I76">
        <v>1268</v>
      </c>
      <c r="J76" t="s">
        <v>20</v>
      </c>
      <c r="K76" t="s">
        <v>21</v>
      </c>
      <c r="L76" t="s">
        <v>22</v>
      </c>
      <c r="M76" t="s">
        <v>23</v>
      </c>
      <c r="N76" t="s">
        <v>24</v>
      </c>
      <c r="O76" t="s">
        <v>166</v>
      </c>
      <c r="P76" t="s">
        <v>26</v>
      </c>
    </row>
    <row r="77" spans="1:16" x14ac:dyDescent="0.3">
      <c r="A77" t="s">
        <v>167</v>
      </c>
      <c r="B77">
        <v>36</v>
      </c>
      <c r="C77" t="s">
        <v>17</v>
      </c>
      <c r="D77" t="s">
        <v>36</v>
      </c>
      <c r="E77">
        <v>102199</v>
      </c>
      <c r="F77" t="s">
        <v>19</v>
      </c>
      <c r="G77">
        <v>8</v>
      </c>
      <c r="H77">
        <v>997</v>
      </c>
      <c r="I77">
        <v>7976</v>
      </c>
      <c r="J77" t="s">
        <v>20</v>
      </c>
      <c r="K77" t="s">
        <v>30</v>
      </c>
      <c r="L77" t="s">
        <v>31</v>
      </c>
      <c r="M77" t="s">
        <v>32</v>
      </c>
      <c r="N77" t="s">
        <v>23</v>
      </c>
      <c r="O77" t="s">
        <v>168</v>
      </c>
      <c r="P77" t="s">
        <v>46</v>
      </c>
    </row>
    <row r="78" spans="1:16" x14ac:dyDescent="0.3">
      <c r="A78" t="s">
        <v>169</v>
      </c>
      <c r="B78">
        <v>30</v>
      </c>
      <c r="C78" t="s">
        <v>35</v>
      </c>
      <c r="D78" t="s">
        <v>42</v>
      </c>
      <c r="E78">
        <v>68254</v>
      </c>
      <c r="F78" t="s">
        <v>43</v>
      </c>
      <c r="G78">
        <v>2</v>
      </c>
      <c r="H78">
        <v>2390</v>
      </c>
      <c r="I78">
        <v>4780</v>
      </c>
      <c r="J78" t="s">
        <v>38</v>
      </c>
      <c r="K78" t="s">
        <v>30</v>
      </c>
      <c r="L78" t="s">
        <v>22</v>
      </c>
      <c r="M78" t="s">
        <v>32</v>
      </c>
      <c r="N78" t="s">
        <v>23</v>
      </c>
      <c r="O78" t="s">
        <v>104</v>
      </c>
      <c r="P78" t="s">
        <v>46</v>
      </c>
    </row>
    <row r="79" spans="1:16" x14ac:dyDescent="0.3">
      <c r="A79" t="s">
        <v>170</v>
      </c>
      <c r="B79">
        <v>45</v>
      </c>
      <c r="C79" t="s">
        <v>17</v>
      </c>
      <c r="D79" t="s">
        <v>28</v>
      </c>
      <c r="E79">
        <v>96616</v>
      </c>
      <c r="F79" t="s">
        <v>29</v>
      </c>
      <c r="G79">
        <v>4</v>
      </c>
      <c r="H79">
        <v>2370</v>
      </c>
      <c r="I79">
        <v>9480</v>
      </c>
      <c r="J79" t="s">
        <v>48</v>
      </c>
      <c r="K79" t="s">
        <v>21</v>
      </c>
      <c r="L79" t="s">
        <v>22</v>
      </c>
      <c r="M79" t="s">
        <v>23</v>
      </c>
      <c r="N79" t="s">
        <v>32</v>
      </c>
      <c r="O79" t="s">
        <v>171</v>
      </c>
      <c r="P79" t="s">
        <v>61</v>
      </c>
    </row>
    <row r="80" spans="1:16" x14ac:dyDescent="0.3">
      <c r="A80" t="s">
        <v>172</v>
      </c>
      <c r="B80">
        <v>21</v>
      </c>
      <c r="C80" t="s">
        <v>35</v>
      </c>
      <c r="D80" t="s">
        <v>42</v>
      </c>
      <c r="E80">
        <v>69132</v>
      </c>
      <c r="F80" t="s">
        <v>43</v>
      </c>
      <c r="G80">
        <v>6</v>
      </c>
      <c r="H80">
        <v>3726</v>
      </c>
      <c r="I80">
        <v>22356</v>
      </c>
      <c r="J80" t="s">
        <v>20</v>
      </c>
      <c r="K80" t="s">
        <v>30</v>
      </c>
      <c r="L80" t="s">
        <v>31</v>
      </c>
      <c r="M80" t="s">
        <v>23</v>
      </c>
      <c r="N80" t="s">
        <v>24</v>
      </c>
      <c r="O80" t="s">
        <v>33</v>
      </c>
      <c r="P80" t="s">
        <v>40</v>
      </c>
    </row>
    <row r="81" spans="1:16" x14ac:dyDescent="0.3">
      <c r="A81" t="s">
        <v>173</v>
      </c>
      <c r="B81">
        <v>55</v>
      </c>
      <c r="C81" t="s">
        <v>35</v>
      </c>
      <c r="D81" t="s">
        <v>73</v>
      </c>
      <c r="E81">
        <v>72176</v>
      </c>
      <c r="F81" t="s">
        <v>37</v>
      </c>
      <c r="G81">
        <v>8</v>
      </c>
      <c r="H81">
        <v>1913</v>
      </c>
      <c r="I81">
        <v>15304</v>
      </c>
      <c r="J81" t="s">
        <v>48</v>
      </c>
      <c r="K81" t="s">
        <v>30</v>
      </c>
      <c r="L81" t="s">
        <v>31</v>
      </c>
      <c r="M81" t="s">
        <v>24</v>
      </c>
      <c r="N81" t="s">
        <v>23</v>
      </c>
      <c r="O81" t="s">
        <v>164</v>
      </c>
      <c r="P81" t="s">
        <v>40</v>
      </c>
    </row>
    <row r="82" spans="1:16" x14ac:dyDescent="0.3">
      <c r="A82" t="s">
        <v>174</v>
      </c>
      <c r="B82">
        <v>45</v>
      </c>
      <c r="C82" t="s">
        <v>35</v>
      </c>
      <c r="D82" t="s">
        <v>42</v>
      </c>
      <c r="E82">
        <v>133860</v>
      </c>
      <c r="F82" t="s">
        <v>29</v>
      </c>
      <c r="G82">
        <v>1</v>
      </c>
      <c r="H82">
        <v>1803</v>
      </c>
      <c r="I82">
        <v>1803</v>
      </c>
      <c r="J82" t="s">
        <v>48</v>
      </c>
      <c r="K82" t="s">
        <v>30</v>
      </c>
      <c r="L82" t="s">
        <v>31</v>
      </c>
      <c r="M82" t="s">
        <v>23</v>
      </c>
      <c r="N82" t="s">
        <v>24</v>
      </c>
      <c r="O82" t="s">
        <v>129</v>
      </c>
      <c r="P82" t="s">
        <v>26</v>
      </c>
    </row>
    <row r="83" spans="1:16" x14ac:dyDescent="0.3">
      <c r="A83" t="s">
        <v>175</v>
      </c>
      <c r="B83">
        <v>54</v>
      </c>
      <c r="C83" t="s">
        <v>35</v>
      </c>
      <c r="D83" t="s">
        <v>68</v>
      </c>
      <c r="E83">
        <v>124692</v>
      </c>
      <c r="F83" t="s">
        <v>37</v>
      </c>
      <c r="G83">
        <v>6</v>
      </c>
      <c r="H83">
        <v>911</v>
      </c>
      <c r="I83">
        <v>5466</v>
      </c>
      <c r="J83" t="s">
        <v>56</v>
      </c>
      <c r="K83" t="s">
        <v>21</v>
      </c>
      <c r="L83" t="s">
        <v>31</v>
      </c>
      <c r="M83" t="s">
        <v>24</v>
      </c>
      <c r="N83" t="s">
        <v>32</v>
      </c>
      <c r="O83" t="s">
        <v>104</v>
      </c>
      <c r="P83" t="s">
        <v>26</v>
      </c>
    </row>
    <row r="84" spans="1:16" x14ac:dyDescent="0.3">
      <c r="A84" t="s">
        <v>176</v>
      </c>
      <c r="B84">
        <v>46</v>
      </c>
      <c r="C84" t="s">
        <v>17</v>
      </c>
      <c r="D84" t="s">
        <v>36</v>
      </c>
      <c r="E84">
        <v>141718</v>
      </c>
      <c r="F84" t="s">
        <v>29</v>
      </c>
      <c r="G84">
        <v>5</v>
      </c>
      <c r="H84">
        <v>1886</v>
      </c>
      <c r="I84">
        <v>9430</v>
      </c>
      <c r="J84" t="s">
        <v>20</v>
      </c>
      <c r="K84" t="s">
        <v>30</v>
      </c>
      <c r="L84" t="s">
        <v>22</v>
      </c>
      <c r="M84" t="s">
        <v>23</v>
      </c>
      <c r="N84" t="s">
        <v>23</v>
      </c>
      <c r="O84" t="s">
        <v>177</v>
      </c>
      <c r="P84" t="s">
        <v>61</v>
      </c>
    </row>
    <row r="85" spans="1:16" x14ac:dyDescent="0.3">
      <c r="A85" t="s">
        <v>178</v>
      </c>
      <c r="B85">
        <v>25</v>
      </c>
      <c r="C85" t="s">
        <v>17</v>
      </c>
      <c r="D85" t="s">
        <v>42</v>
      </c>
      <c r="E85">
        <v>119705</v>
      </c>
      <c r="F85" t="s">
        <v>59</v>
      </c>
      <c r="G85">
        <v>8</v>
      </c>
      <c r="H85">
        <v>2716</v>
      </c>
      <c r="I85">
        <v>21728</v>
      </c>
      <c r="J85" t="s">
        <v>48</v>
      </c>
      <c r="K85" t="s">
        <v>21</v>
      </c>
      <c r="L85" t="s">
        <v>22</v>
      </c>
      <c r="M85" t="s">
        <v>32</v>
      </c>
      <c r="N85" t="s">
        <v>23</v>
      </c>
      <c r="O85" t="s">
        <v>179</v>
      </c>
      <c r="P85" t="s">
        <v>40</v>
      </c>
    </row>
    <row r="86" spans="1:16" x14ac:dyDescent="0.3">
      <c r="A86" t="s">
        <v>180</v>
      </c>
      <c r="B86">
        <v>40</v>
      </c>
      <c r="C86" t="s">
        <v>17</v>
      </c>
      <c r="D86" t="s">
        <v>68</v>
      </c>
      <c r="E86">
        <v>72516</v>
      </c>
      <c r="F86" t="s">
        <v>19</v>
      </c>
      <c r="G86">
        <v>2</v>
      </c>
      <c r="H86">
        <v>2317</v>
      </c>
      <c r="I86">
        <v>4634</v>
      </c>
      <c r="J86" t="s">
        <v>38</v>
      </c>
      <c r="K86" t="s">
        <v>30</v>
      </c>
      <c r="L86" t="s">
        <v>22</v>
      </c>
      <c r="M86" t="s">
        <v>32</v>
      </c>
      <c r="N86" t="s">
        <v>23</v>
      </c>
      <c r="O86" t="s">
        <v>159</v>
      </c>
      <c r="P86" t="s">
        <v>46</v>
      </c>
    </row>
    <row r="87" spans="1:16" x14ac:dyDescent="0.3">
      <c r="A87" t="s">
        <v>181</v>
      </c>
      <c r="B87">
        <v>32</v>
      </c>
      <c r="C87" t="s">
        <v>17</v>
      </c>
      <c r="D87" t="s">
        <v>18</v>
      </c>
      <c r="E87">
        <v>40350</v>
      </c>
      <c r="F87" t="s">
        <v>43</v>
      </c>
      <c r="G87">
        <v>3</v>
      </c>
      <c r="H87">
        <v>1500</v>
      </c>
      <c r="I87">
        <v>4500</v>
      </c>
      <c r="J87" t="s">
        <v>56</v>
      </c>
      <c r="K87" t="s">
        <v>21</v>
      </c>
      <c r="L87" t="s">
        <v>22</v>
      </c>
      <c r="M87" t="s">
        <v>23</v>
      </c>
      <c r="N87" t="s">
        <v>24</v>
      </c>
      <c r="O87" t="s">
        <v>182</v>
      </c>
      <c r="P87" t="s">
        <v>26</v>
      </c>
    </row>
    <row r="88" spans="1:16" x14ac:dyDescent="0.3">
      <c r="A88" t="s">
        <v>183</v>
      </c>
      <c r="B88">
        <v>37</v>
      </c>
      <c r="C88" t="s">
        <v>35</v>
      </c>
      <c r="D88" t="s">
        <v>36</v>
      </c>
      <c r="E88">
        <v>117404</v>
      </c>
      <c r="F88" t="s">
        <v>19</v>
      </c>
      <c r="G88">
        <v>3</v>
      </c>
      <c r="H88">
        <v>1451</v>
      </c>
      <c r="I88">
        <v>4353</v>
      </c>
      <c r="J88" t="s">
        <v>56</v>
      </c>
      <c r="K88" t="s">
        <v>30</v>
      </c>
      <c r="L88" t="s">
        <v>31</v>
      </c>
      <c r="M88" t="s">
        <v>24</v>
      </c>
      <c r="N88" t="s">
        <v>23</v>
      </c>
      <c r="O88" t="s">
        <v>92</v>
      </c>
      <c r="P88" t="s">
        <v>46</v>
      </c>
    </row>
    <row r="89" spans="1:16" x14ac:dyDescent="0.3">
      <c r="A89" t="s">
        <v>184</v>
      </c>
      <c r="B89">
        <v>48</v>
      </c>
      <c r="C89" t="s">
        <v>35</v>
      </c>
      <c r="D89" t="s">
        <v>73</v>
      </c>
      <c r="E89">
        <v>140795</v>
      </c>
      <c r="F89" t="s">
        <v>59</v>
      </c>
      <c r="G89">
        <v>8</v>
      </c>
      <c r="H89">
        <v>1915</v>
      </c>
      <c r="I89">
        <v>15320</v>
      </c>
      <c r="J89" t="s">
        <v>48</v>
      </c>
      <c r="K89" t="s">
        <v>30</v>
      </c>
      <c r="L89" t="s">
        <v>22</v>
      </c>
      <c r="M89" t="s">
        <v>23</v>
      </c>
      <c r="N89" t="s">
        <v>24</v>
      </c>
      <c r="O89" t="s">
        <v>185</v>
      </c>
      <c r="P89" t="s">
        <v>40</v>
      </c>
    </row>
    <row r="90" spans="1:16" x14ac:dyDescent="0.3">
      <c r="A90" t="s">
        <v>186</v>
      </c>
      <c r="B90">
        <v>39</v>
      </c>
      <c r="C90" t="s">
        <v>35</v>
      </c>
      <c r="D90" t="s">
        <v>68</v>
      </c>
      <c r="E90">
        <v>138794</v>
      </c>
      <c r="F90" t="s">
        <v>29</v>
      </c>
      <c r="G90">
        <v>4</v>
      </c>
      <c r="H90">
        <v>2062</v>
      </c>
      <c r="I90">
        <v>8248</v>
      </c>
      <c r="J90" t="s">
        <v>56</v>
      </c>
      <c r="K90" t="s">
        <v>30</v>
      </c>
      <c r="L90" t="s">
        <v>31</v>
      </c>
      <c r="M90" t="s">
        <v>23</v>
      </c>
      <c r="N90" t="s">
        <v>24</v>
      </c>
      <c r="O90" t="s">
        <v>187</v>
      </c>
      <c r="P90" t="s">
        <v>61</v>
      </c>
    </row>
    <row r="91" spans="1:16" x14ac:dyDescent="0.3">
      <c r="A91" t="s">
        <v>188</v>
      </c>
      <c r="B91">
        <v>39</v>
      </c>
      <c r="C91" t="s">
        <v>17</v>
      </c>
      <c r="D91" t="s">
        <v>28</v>
      </c>
      <c r="E91">
        <v>135110</v>
      </c>
      <c r="F91" t="s">
        <v>59</v>
      </c>
      <c r="G91">
        <v>1</v>
      </c>
      <c r="H91">
        <v>2983</v>
      </c>
      <c r="I91">
        <v>2983</v>
      </c>
      <c r="J91" t="s">
        <v>48</v>
      </c>
      <c r="K91" t="s">
        <v>21</v>
      </c>
      <c r="L91" t="s">
        <v>22</v>
      </c>
      <c r="M91" t="s">
        <v>23</v>
      </c>
      <c r="N91" t="s">
        <v>24</v>
      </c>
      <c r="O91" t="s">
        <v>88</v>
      </c>
      <c r="P91" t="s">
        <v>26</v>
      </c>
    </row>
    <row r="92" spans="1:16" x14ac:dyDescent="0.3">
      <c r="A92" t="s">
        <v>189</v>
      </c>
      <c r="B92">
        <v>23</v>
      </c>
      <c r="C92" t="s">
        <v>35</v>
      </c>
      <c r="D92" t="s">
        <v>73</v>
      </c>
      <c r="E92">
        <v>34373</v>
      </c>
      <c r="F92" t="s">
        <v>43</v>
      </c>
      <c r="G92">
        <v>3</v>
      </c>
      <c r="H92">
        <v>3073</v>
      </c>
      <c r="I92">
        <v>9219</v>
      </c>
      <c r="J92" t="s">
        <v>38</v>
      </c>
      <c r="K92" t="s">
        <v>21</v>
      </c>
      <c r="L92" t="s">
        <v>31</v>
      </c>
      <c r="M92" t="s">
        <v>32</v>
      </c>
      <c r="N92" t="s">
        <v>23</v>
      </c>
      <c r="O92" t="s">
        <v>190</v>
      </c>
      <c r="P92" t="s">
        <v>46</v>
      </c>
    </row>
    <row r="93" spans="1:16" x14ac:dyDescent="0.3">
      <c r="A93" t="s">
        <v>191</v>
      </c>
      <c r="B93">
        <v>33</v>
      </c>
      <c r="C93" t="s">
        <v>17</v>
      </c>
      <c r="D93" t="s">
        <v>28</v>
      </c>
      <c r="E93">
        <v>144879</v>
      </c>
      <c r="F93" t="s">
        <v>59</v>
      </c>
      <c r="G93">
        <v>6</v>
      </c>
      <c r="H93">
        <v>3561</v>
      </c>
      <c r="I93">
        <v>21366</v>
      </c>
      <c r="J93" t="s">
        <v>20</v>
      </c>
      <c r="K93" t="s">
        <v>30</v>
      </c>
      <c r="L93" t="s">
        <v>31</v>
      </c>
      <c r="M93" t="s">
        <v>24</v>
      </c>
      <c r="N93" t="s">
        <v>32</v>
      </c>
      <c r="O93" t="s">
        <v>192</v>
      </c>
      <c r="P93" t="s">
        <v>40</v>
      </c>
    </row>
    <row r="94" spans="1:16" x14ac:dyDescent="0.3">
      <c r="A94" t="s">
        <v>193</v>
      </c>
      <c r="B94">
        <v>42</v>
      </c>
      <c r="C94" t="s">
        <v>17</v>
      </c>
      <c r="D94" t="s">
        <v>73</v>
      </c>
      <c r="E94">
        <v>39869</v>
      </c>
      <c r="F94" t="s">
        <v>37</v>
      </c>
      <c r="G94">
        <v>8</v>
      </c>
      <c r="H94">
        <v>3803</v>
      </c>
      <c r="I94">
        <v>30424</v>
      </c>
      <c r="J94" t="s">
        <v>48</v>
      </c>
      <c r="K94" t="s">
        <v>30</v>
      </c>
      <c r="L94" t="s">
        <v>22</v>
      </c>
      <c r="M94" t="s">
        <v>24</v>
      </c>
      <c r="N94" t="s">
        <v>23</v>
      </c>
      <c r="O94" t="s">
        <v>60</v>
      </c>
      <c r="P94" t="s">
        <v>40</v>
      </c>
    </row>
    <row r="95" spans="1:16" x14ac:dyDescent="0.3">
      <c r="A95" t="s">
        <v>194</v>
      </c>
      <c r="B95">
        <v>28</v>
      </c>
      <c r="C95" t="s">
        <v>35</v>
      </c>
      <c r="D95" t="s">
        <v>36</v>
      </c>
      <c r="E95">
        <v>118188</v>
      </c>
      <c r="F95" t="s">
        <v>29</v>
      </c>
      <c r="G95">
        <v>7</v>
      </c>
      <c r="H95">
        <v>557</v>
      </c>
      <c r="I95">
        <v>3899</v>
      </c>
      <c r="J95" t="s">
        <v>38</v>
      </c>
      <c r="K95" t="s">
        <v>30</v>
      </c>
      <c r="L95" t="s">
        <v>22</v>
      </c>
      <c r="M95" t="s">
        <v>24</v>
      </c>
      <c r="N95" t="s">
        <v>23</v>
      </c>
      <c r="O95" t="s">
        <v>185</v>
      </c>
      <c r="P95" t="s">
        <v>46</v>
      </c>
    </row>
    <row r="96" spans="1:16" x14ac:dyDescent="0.3">
      <c r="A96" t="s">
        <v>195</v>
      </c>
      <c r="B96">
        <v>41</v>
      </c>
      <c r="C96" t="s">
        <v>17</v>
      </c>
      <c r="D96" t="s">
        <v>42</v>
      </c>
      <c r="E96">
        <v>38285</v>
      </c>
      <c r="F96" t="s">
        <v>29</v>
      </c>
      <c r="G96">
        <v>4</v>
      </c>
      <c r="H96">
        <v>2431</v>
      </c>
      <c r="I96">
        <v>9724</v>
      </c>
      <c r="J96" t="s">
        <v>56</v>
      </c>
      <c r="K96" t="s">
        <v>30</v>
      </c>
      <c r="L96" t="s">
        <v>22</v>
      </c>
      <c r="M96" t="s">
        <v>32</v>
      </c>
      <c r="N96" t="s">
        <v>23</v>
      </c>
      <c r="O96" t="s">
        <v>156</v>
      </c>
      <c r="P96" t="s">
        <v>46</v>
      </c>
    </row>
    <row r="97" spans="1:16" x14ac:dyDescent="0.3">
      <c r="A97" t="s">
        <v>196</v>
      </c>
      <c r="B97">
        <v>52</v>
      </c>
      <c r="C97" t="s">
        <v>17</v>
      </c>
      <c r="D97" t="s">
        <v>68</v>
      </c>
      <c r="E97">
        <v>60775</v>
      </c>
      <c r="F97" t="s">
        <v>43</v>
      </c>
      <c r="G97">
        <v>3</v>
      </c>
      <c r="H97">
        <v>685</v>
      </c>
      <c r="I97">
        <v>2055</v>
      </c>
      <c r="J97" t="s">
        <v>48</v>
      </c>
      <c r="K97" t="s">
        <v>30</v>
      </c>
      <c r="L97" t="s">
        <v>22</v>
      </c>
      <c r="M97" t="s">
        <v>32</v>
      </c>
      <c r="N97" t="s">
        <v>24</v>
      </c>
      <c r="O97" t="s">
        <v>66</v>
      </c>
      <c r="P97" t="s">
        <v>26</v>
      </c>
    </row>
    <row r="98" spans="1:16" x14ac:dyDescent="0.3">
      <c r="A98" t="s">
        <v>197</v>
      </c>
      <c r="B98">
        <v>30</v>
      </c>
      <c r="C98" t="s">
        <v>35</v>
      </c>
      <c r="D98" t="s">
        <v>42</v>
      </c>
      <c r="E98">
        <v>42978</v>
      </c>
      <c r="F98" t="s">
        <v>55</v>
      </c>
      <c r="G98">
        <v>7</v>
      </c>
      <c r="H98">
        <v>2905</v>
      </c>
      <c r="I98">
        <v>20335</v>
      </c>
      <c r="J98" t="s">
        <v>20</v>
      </c>
      <c r="K98" t="s">
        <v>30</v>
      </c>
      <c r="L98" t="s">
        <v>22</v>
      </c>
      <c r="M98" t="s">
        <v>23</v>
      </c>
      <c r="N98" t="s">
        <v>23</v>
      </c>
      <c r="O98" t="s">
        <v>25</v>
      </c>
      <c r="P98" t="s">
        <v>40</v>
      </c>
    </row>
    <row r="99" spans="1:16" x14ac:dyDescent="0.3">
      <c r="A99" t="s">
        <v>198</v>
      </c>
      <c r="B99">
        <v>36</v>
      </c>
      <c r="C99" t="s">
        <v>35</v>
      </c>
      <c r="D99" t="s">
        <v>68</v>
      </c>
      <c r="E99">
        <v>119873</v>
      </c>
      <c r="F99" t="s">
        <v>59</v>
      </c>
      <c r="G99">
        <v>6</v>
      </c>
      <c r="H99">
        <v>1389</v>
      </c>
      <c r="I99">
        <v>8334</v>
      </c>
      <c r="J99" t="s">
        <v>20</v>
      </c>
      <c r="K99" t="s">
        <v>30</v>
      </c>
      <c r="L99" t="s">
        <v>31</v>
      </c>
      <c r="M99" t="s">
        <v>24</v>
      </c>
      <c r="N99" t="s">
        <v>24</v>
      </c>
      <c r="O99" t="s">
        <v>199</v>
      </c>
      <c r="P99" t="s">
        <v>26</v>
      </c>
    </row>
    <row r="100" spans="1:16" x14ac:dyDescent="0.3">
      <c r="A100" t="s">
        <v>200</v>
      </c>
      <c r="B100">
        <v>26</v>
      </c>
      <c r="C100" t="s">
        <v>17</v>
      </c>
      <c r="D100" t="s">
        <v>42</v>
      </c>
      <c r="E100">
        <v>113819</v>
      </c>
      <c r="F100" t="s">
        <v>43</v>
      </c>
      <c r="G100">
        <v>5</v>
      </c>
      <c r="H100">
        <v>1277</v>
      </c>
      <c r="I100">
        <v>6385</v>
      </c>
      <c r="J100" t="s">
        <v>44</v>
      </c>
      <c r="K100" t="s">
        <v>21</v>
      </c>
      <c r="L100" t="s">
        <v>22</v>
      </c>
      <c r="M100" t="s">
        <v>32</v>
      </c>
      <c r="N100" t="s">
        <v>24</v>
      </c>
      <c r="O100" t="s">
        <v>78</v>
      </c>
      <c r="P100" t="s">
        <v>26</v>
      </c>
    </row>
    <row r="101" spans="1:16" x14ac:dyDescent="0.3">
      <c r="A101" t="s">
        <v>201</v>
      </c>
      <c r="B101">
        <v>25</v>
      </c>
      <c r="C101" t="s">
        <v>17</v>
      </c>
      <c r="D101" t="s">
        <v>28</v>
      </c>
      <c r="E101">
        <v>58305</v>
      </c>
      <c r="F101" t="s">
        <v>37</v>
      </c>
      <c r="G101">
        <v>3</v>
      </c>
      <c r="H101">
        <v>3723</v>
      </c>
      <c r="I101">
        <v>11169</v>
      </c>
      <c r="J101" t="s">
        <v>38</v>
      </c>
      <c r="K101" t="s">
        <v>21</v>
      </c>
      <c r="L101" t="s">
        <v>31</v>
      </c>
      <c r="M101" t="s">
        <v>23</v>
      </c>
      <c r="N101" t="s">
        <v>32</v>
      </c>
      <c r="O101" t="s">
        <v>106</v>
      </c>
      <c r="P101" t="s">
        <v>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83C8-95F1-4BF8-B350-B1C57F6C8C19}">
  <dimension ref="A1:F101"/>
  <sheetViews>
    <sheetView workbookViewId="0">
      <selection activeCell="F1" sqref="F1:F1048576"/>
    </sheetView>
  </sheetViews>
  <sheetFormatPr defaultRowHeight="14.4" x14ac:dyDescent="0.3"/>
  <sheetData>
    <row r="1" spans="1:6" x14ac:dyDescent="0.3">
      <c r="A1" s="1" t="s">
        <v>0</v>
      </c>
      <c r="B1" s="1" t="s">
        <v>6</v>
      </c>
      <c r="C1" s="1" t="s">
        <v>8</v>
      </c>
      <c r="D1" s="1" t="s">
        <v>12</v>
      </c>
      <c r="E1" s="1" t="s">
        <v>13</v>
      </c>
      <c r="F1" s="1" t="s">
        <v>15</v>
      </c>
    </row>
    <row r="2" spans="1:6" x14ac:dyDescent="0.3">
      <c r="A2" t="s">
        <v>16</v>
      </c>
      <c r="B2">
        <v>2</v>
      </c>
      <c r="C2">
        <v>1204</v>
      </c>
      <c r="D2" t="s">
        <v>23</v>
      </c>
      <c r="E2" t="s">
        <v>24</v>
      </c>
      <c r="F2" t="str">
        <f>IF(C2&gt;=20000,"High Value",
IF(B2&gt;=5,"Frequent Buyer",
IF(D2="Low","Inactive",
IF(E2="High","Price Sensitive","Regular"))))</f>
        <v>Regular</v>
      </c>
    </row>
    <row r="3" spans="1:6" x14ac:dyDescent="0.3">
      <c r="A3" t="s">
        <v>27</v>
      </c>
      <c r="B3">
        <v>1</v>
      </c>
      <c r="C3">
        <v>883</v>
      </c>
      <c r="D3" t="s">
        <v>32</v>
      </c>
      <c r="E3" t="s">
        <v>32</v>
      </c>
      <c r="F3" t="str">
        <f t="shared" ref="F3:F66" si="0">IF(C3&gt;=20000,"High Value",
IF(B3&gt;=5,"Frequent Buyer",
IF(D3="Low","Inactive",
IF(E3="High","Price Sensitive","Regular"))))</f>
        <v>Inactive</v>
      </c>
    </row>
    <row r="4" spans="1:6" x14ac:dyDescent="0.3">
      <c r="A4" t="s">
        <v>34</v>
      </c>
      <c r="B4">
        <v>5</v>
      </c>
      <c r="C4">
        <v>19075</v>
      </c>
      <c r="D4" t="s">
        <v>32</v>
      </c>
      <c r="E4" t="s">
        <v>32</v>
      </c>
      <c r="F4" t="str">
        <f t="shared" si="0"/>
        <v>Frequent Buyer</v>
      </c>
    </row>
    <row r="5" spans="1:6" x14ac:dyDescent="0.3">
      <c r="A5" t="s">
        <v>41</v>
      </c>
      <c r="B5">
        <v>2</v>
      </c>
      <c r="C5">
        <v>3940</v>
      </c>
      <c r="D5" t="s">
        <v>24</v>
      </c>
      <c r="E5" t="s">
        <v>23</v>
      </c>
      <c r="F5" t="str">
        <f t="shared" si="0"/>
        <v>Price Sensitive</v>
      </c>
    </row>
    <row r="6" spans="1:6" x14ac:dyDescent="0.3">
      <c r="A6" t="s">
        <v>47</v>
      </c>
      <c r="B6">
        <v>5</v>
      </c>
      <c r="C6">
        <v>19485</v>
      </c>
      <c r="D6" t="s">
        <v>23</v>
      </c>
      <c r="E6" t="s">
        <v>23</v>
      </c>
      <c r="F6" t="str">
        <f t="shared" si="0"/>
        <v>Frequent Buyer</v>
      </c>
    </row>
    <row r="7" spans="1:6" x14ac:dyDescent="0.3">
      <c r="A7" t="s">
        <v>50</v>
      </c>
      <c r="B7">
        <v>2</v>
      </c>
      <c r="C7">
        <v>4112</v>
      </c>
      <c r="D7" t="s">
        <v>24</v>
      </c>
      <c r="E7" t="s">
        <v>24</v>
      </c>
      <c r="F7" t="str">
        <f t="shared" si="0"/>
        <v>Regular</v>
      </c>
    </row>
    <row r="8" spans="1:6" x14ac:dyDescent="0.3">
      <c r="A8" t="s">
        <v>52</v>
      </c>
      <c r="B8">
        <v>4</v>
      </c>
      <c r="C8">
        <v>4676</v>
      </c>
      <c r="D8" t="s">
        <v>24</v>
      </c>
      <c r="E8" t="s">
        <v>24</v>
      </c>
      <c r="F8" t="str">
        <f t="shared" si="0"/>
        <v>Regular</v>
      </c>
    </row>
    <row r="9" spans="1:6" x14ac:dyDescent="0.3">
      <c r="A9" t="s">
        <v>54</v>
      </c>
      <c r="B9">
        <v>5</v>
      </c>
      <c r="C9">
        <v>3855</v>
      </c>
      <c r="D9" t="s">
        <v>32</v>
      </c>
      <c r="E9" t="s">
        <v>23</v>
      </c>
      <c r="F9" t="str">
        <f t="shared" si="0"/>
        <v>Frequent Buyer</v>
      </c>
    </row>
    <row r="10" spans="1:6" x14ac:dyDescent="0.3">
      <c r="A10" t="s">
        <v>58</v>
      </c>
      <c r="B10">
        <v>4</v>
      </c>
      <c r="C10">
        <v>14204</v>
      </c>
      <c r="D10" t="s">
        <v>23</v>
      </c>
      <c r="E10" t="s">
        <v>23</v>
      </c>
      <c r="F10" t="str">
        <f t="shared" si="0"/>
        <v>Price Sensitive</v>
      </c>
    </row>
    <row r="11" spans="1:6" x14ac:dyDescent="0.3">
      <c r="A11" t="s">
        <v>62</v>
      </c>
      <c r="B11">
        <v>1</v>
      </c>
      <c r="C11">
        <v>949</v>
      </c>
      <c r="D11" t="s">
        <v>32</v>
      </c>
      <c r="E11" t="s">
        <v>23</v>
      </c>
      <c r="F11" t="str">
        <f t="shared" si="0"/>
        <v>Inactive</v>
      </c>
    </row>
    <row r="12" spans="1:6" x14ac:dyDescent="0.3">
      <c r="A12" t="s">
        <v>63</v>
      </c>
      <c r="B12">
        <v>1</v>
      </c>
      <c r="C12">
        <v>3286</v>
      </c>
      <c r="D12" t="s">
        <v>23</v>
      </c>
      <c r="E12" t="s">
        <v>32</v>
      </c>
      <c r="F12" t="str">
        <f t="shared" si="0"/>
        <v>Regular</v>
      </c>
    </row>
    <row r="13" spans="1:6" x14ac:dyDescent="0.3">
      <c r="A13" t="s">
        <v>65</v>
      </c>
      <c r="B13">
        <v>1</v>
      </c>
      <c r="C13">
        <v>3457</v>
      </c>
      <c r="D13" t="s">
        <v>23</v>
      </c>
      <c r="E13" t="s">
        <v>24</v>
      </c>
      <c r="F13" t="str">
        <f t="shared" si="0"/>
        <v>Regular</v>
      </c>
    </row>
    <row r="14" spans="1:6" x14ac:dyDescent="0.3">
      <c r="A14" t="s">
        <v>67</v>
      </c>
      <c r="B14">
        <v>3</v>
      </c>
      <c r="C14">
        <v>8127</v>
      </c>
      <c r="D14" t="s">
        <v>23</v>
      </c>
      <c r="E14" t="s">
        <v>32</v>
      </c>
      <c r="F14" t="str">
        <f t="shared" si="0"/>
        <v>Regular</v>
      </c>
    </row>
    <row r="15" spans="1:6" x14ac:dyDescent="0.3">
      <c r="A15" t="s">
        <v>70</v>
      </c>
      <c r="B15">
        <v>2</v>
      </c>
      <c r="C15">
        <v>1700</v>
      </c>
      <c r="D15" t="s">
        <v>23</v>
      </c>
      <c r="E15" t="s">
        <v>24</v>
      </c>
      <c r="F15" t="str">
        <f t="shared" si="0"/>
        <v>Regular</v>
      </c>
    </row>
    <row r="16" spans="1:6" x14ac:dyDescent="0.3">
      <c r="A16" t="s">
        <v>72</v>
      </c>
      <c r="B16">
        <v>7</v>
      </c>
      <c r="C16">
        <v>9569</v>
      </c>
      <c r="D16" t="s">
        <v>23</v>
      </c>
      <c r="E16" t="s">
        <v>23</v>
      </c>
      <c r="F16" t="str">
        <f t="shared" si="0"/>
        <v>Frequent Buyer</v>
      </c>
    </row>
    <row r="17" spans="1:6" x14ac:dyDescent="0.3">
      <c r="A17" t="s">
        <v>75</v>
      </c>
      <c r="B17">
        <v>4</v>
      </c>
      <c r="C17">
        <v>5680</v>
      </c>
      <c r="D17" t="s">
        <v>32</v>
      </c>
      <c r="E17" t="s">
        <v>24</v>
      </c>
      <c r="F17" t="str">
        <f t="shared" si="0"/>
        <v>Inactive</v>
      </c>
    </row>
    <row r="18" spans="1:6" x14ac:dyDescent="0.3">
      <c r="A18" t="s">
        <v>77</v>
      </c>
      <c r="B18">
        <v>1</v>
      </c>
      <c r="C18">
        <v>1853</v>
      </c>
      <c r="D18" t="s">
        <v>32</v>
      </c>
      <c r="E18" t="s">
        <v>23</v>
      </c>
      <c r="F18" t="str">
        <f t="shared" si="0"/>
        <v>Inactive</v>
      </c>
    </row>
    <row r="19" spans="1:6" x14ac:dyDescent="0.3">
      <c r="A19" t="s">
        <v>79</v>
      </c>
      <c r="B19">
        <v>8</v>
      </c>
      <c r="C19">
        <v>30456</v>
      </c>
      <c r="D19" t="s">
        <v>24</v>
      </c>
      <c r="E19" t="s">
        <v>32</v>
      </c>
      <c r="F19" t="str">
        <f t="shared" si="0"/>
        <v>High Value</v>
      </c>
    </row>
    <row r="20" spans="1:6" x14ac:dyDescent="0.3">
      <c r="A20" t="s">
        <v>81</v>
      </c>
      <c r="B20">
        <v>2</v>
      </c>
      <c r="C20">
        <v>1496</v>
      </c>
      <c r="D20" t="s">
        <v>24</v>
      </c>
      <c r="E20" t="s">
        <v>23</v>
      </c>
      <c r="F20" t="str">
        <f t="shared" si="0"/>
        <v>Price Sensitive</v>
      </c>
    </row>
    <row r="21" spans="1:6" x14ac:dyDescent="0.3">
      <c r="A21" t="s">
        <v>83</v>
      </c>
      <c r="B21">
        <v>3</v>
      </c>
      <c r="C21">
        <v>4920</v>
      </c>
      <c r="D21" t="s">
        <v>24</v>
      </c>
      <c r="E21" t="s">
        <v>32</v>
      </c>
      <c r="F21" t="str">
        <f t="shared" si="0"/>
        <v>Regular</v>
      </c>
    </row>
    <row r="22" spans="1:6" x14ac:dyDescent="0.3">
      <c r="A22" t="s">
        <v>84</v>
      </c>
      <c r="B22">
        <v>3</v>
      </c>
      <c r="C22">
        <v>6492</v>
      </c>
      <c r="D22" t="s">
        <v>24</v>
      </c>
      <c r="E22" t="s">
        <v>24</v>
      </c>
      <c r="F22" t="str">
        <f t="shared" si="0"/>
        <v>Regular</v>
      </c>
    </row>
    <row r="23" spans="1:6" x14ac:dyDescent="0.3">
      <c r="A23" t="s">
        <v>85</v>
      </c>
      <c r="B23">
        <v>5</v>
      </c>
      <c r="C23">
        <v>11160</v>
      </c>
      <c r="D23" t="s">
        <v>23</v>
      </c>
      <c r="E23" t="s">
        <v>23</v>
      </c>
      <c r="F23" t="str">
        <f t="shared" si="0"/>
        <v>Frequent Buyer</v>
      </c>
    </row>
    <row r="24" spans="1:6" x14ac:dyDescent="0.3">
      <c r="A24" t="s">
        <v>87</v>
      </c>
      <c r="B24">
        <v>1</v>
      </c>
      <c r="C24">
        <v>2892</v>
      </c>
      <c r="D24" t="s">
        <v>24</v>
      </c>
      <c r="E24" t="s">
        <v>23</v>
      </c>
      <c r="F24" t="str">
        <f t="shared" si="0"/>
        <v>Price Sensitive</v>
      </c>
    </row>
    <row r="25" spans="1:6" x14ac:dyDescent="0.3">
      <c r="A25" t="s">
        <v>89</v>
      </c>
      <c r="B25">
        <v>4</v>
      </c>
      <c r="C25">
        <v>8612</v>
      </c>
      <c r="D25" t="s">
        <v>32</v>
      </c>
      <c r="E25" t="s">
        <v>23</v>
      </c>
      <c r="F25" t="str">
        <f t="shared" si="0"/>
        <v>Inactive</v>
      </c>
    </row>
    <row r="26" spans="1:6" x14ac:dyDescent="0.3">
      <c r="A26" t="s">
        <v>91</v>
      </c>
      <c r="B26">
        <v>6</v>
      </c>
      <c r="C26">
        <v>8862</v>
      </c>
      <c r="D26" t="s">
        <v>24</v>
      </c>
      <c r="E26" t="s">
        <v>24</v>
      </c>
      <c r="F26" t="str">
        <f t="shared" si="0"/>
        <v>Frequent Buyer</v>
      </c>
    </row>
    <row r="27" spans="1:6" x14ac:dyDescent="0.3">
      <c r="A27" t="s">
        <v>93</v>
      </c>
      <c r="B27">
        <v>4</v>
      </c>
      <c r="C27">
        <v>10288</v>
      </c>
      <c r="D27" t="s">
        <v>24</v>
      </c>
      <c r="E27" t="s">
        <v>32</v>
      </c>
      <c r="F27" t="str">
        <f t="shared" si="0"/>
        <v>Regular</v>
      </c>
    </row>
    <row r="28" spans="1:6" x14ac:dyDescent="0.3">
      <c r="A28" t="s">
        <v>95</v>
      </c>
      <c r="B28">
        <v>1</v>
      </c>
      <c r="C28">
        <v>3235</v>
      </c>
      <c r="D28" t="s">
        <v>23</v>
      </c>
      <c r="E28" t="s">
        <v>24</v>
      </c>
      <c r="F28" t="str">
        <f t="shared" si="0"/>
        <v>Regular</v>
      </c>
    </row>
    <row r="29" spans="1:6" x14ac:dyDescent="0.3">
      <c r="A29" t="s">
        <v>97</v>
      </c>
      <c r="B29">
        <v>4</v>
      </c>
      <c r="C29">
        <v>13756</v>
      </c>
      <c r="D29" t="s">
        <v>24</v>
      </c>
      <c r="E29" t="s">
        <v>32</v>
      </c>
      <c r="F29" t="str">
        <f t="shared" si="0"/>
        <v>Regular</v>
      </c>
    </row>
    <row r="30" spans="1:6" x14ac:dyDescent="0.3">
      <c r="A30" t="s">
        <v>99</v>
      </c>
      <c r="B30">
        <v>1</v>
      </c>
      <c r="C30">
        <v>1866</v>
      </c>
      <c r="D30" t="s">
        <v>32</v>
      </c>
      <c r="E30" t="s">
        <v>23</v>
      </c>
      <c r="F30" t="str">
        <f t="shared" si="0"/>
        <v>Inactive</v>
      </c>
    </row>
    <row r="31" spans="1:6" x14ac:dyDescent="0.3">
      <c r="A31" t="s">
        <v>100</v>
      </c>
      <c r="B31">
        <v>3</v>
      </c>
      <c r="C31">
        <v>8202</v>
      </c>
      <c r="D31" t="s">
        <v>32</v>
      </c>
      <c r="E31" t="s">
        <v>24</v>
      </c>
      <c r="F31" t="str">
        <f t="shared" si="0"/>
        <v>Inactive</v>
      </c>
    </row>
    <row r="32" spans="1:6" x14ac:dyDescent="0.3">
      <c r="A32" t="s">
        <v>101</v>
      </c>
      <c r="B32">
        <v>4</v>
      </c>
      <c r="C32">
        <v>12924</v>
      </c>
      <c r="D32" t="s">
        <v>32</v>
      </c>
      <c r="E32" t="s">
        <v>24</v>
      </c>
      <c r="F32" t="str">
        <f t="shared" si="0"/>
        <v>Inactive</v>
      </c>
    </row>
    <row r="33" spans="1:6" x14ac:dyDescent="0.3">
      <c r="A33" t="s">
        <v>103</v>
      </c>
      <c r="B33">
        <v>6</v>
      </c>
      <c r="C33">
        <v>22224</v>
      </c>
      <c r="D33" t="s">
        <v>24</v>
      </c>
      <c r="E33" t="s">
        <v>23</v>
      </c>
      <c r="F33" t="str">
        <f t="shared" si="0"/>
        <v>High Value</v>
      </c>
    </row>
    <row r="34" spans="1:6" x14ac:dyDescent="0.3">
      <c r="A34" t="s">
        <v>105</v>
      </c>
      <c r="B34">
        <v>4</v>
      </c>
      <c r="C34">
        <v>5268</v>
      </c>
      <c r="D34" t="s">
        <v>24</v>
      </c>
      <c r="E34" t="s">
        <v>24</v>
      </c>
      <c r="F34" t="str">
        <f t="shared" si="0"/>
        <v>Regular</v>
      </c>
    </row>
    <row r="35" spans="1:6" x14ac:dyDescent="0.3">
      <c r="A35" t="s">
        <v>107</v>
      </c>
      <c r="B35">
        <v>2</v>
      </c>
      <c r="C35">
        <v>7334</v>
      </c>
      <c r="D35" t="s">
        <v>24</v>
      </c>
      <c r="E35" t="s">
        <v>24</v>
      </c>
      <c r="F35" t="str">
        <f t="shared" si="0"/>
        <v>Regular</v>
      </c>
    </row>
    <row r="36" spans="1:6" x14ac:dyDescent="0.3">
      <c r="A36" t="s">
        <v>109</v>
      </c>
      <c r="B36">
        <v>3</v>
      </c>
      <c r="C36">
        <v>8634</v>
      </c>
      <c r="D36" t="s">
        <v>24</v>
      </c>
      <c r="E36" t="s">
        <v>32</v>
      </c>
      <c r="F36" t="str">
        <f t="shared" si="0"/>
        <v>Regular</v>
      </c>
    </row>
    <row r="37" spans="1:6" x14ac:dyDescent="0.3">
      <c r="A37" t="s">
        <v>111</v>
      </c>
      <c r="B37">
        <v>4</v>
      </c>
      <c r="C37">
        <v>6172</v>
      </c>
      <c r="D37" t="s">
        <v>32</v>
      </c>
      <c r="E37" t="s">
        <v>23</v>
      </c>
      <c r="F37" t="str">
        <f t="shared" si="0"/>
        <v>Inactive</v>
      </c>
    </row>
    <row r="38" spans="1:6" x14ac:dyDescent="0.3">
      <c r="A38" t="s">
        <v>112</v>
      </c>
      <c r="B38">
        <v>6</v>
      </c>
      <c r="C38">
        <v>18312</v>
      </c>
      <c r="D38" t="s">
        <v>24</v>
      </c>
      <c r="E38" t="s">
        <v>23</v>
      </c>
      <c r="F38" t="str">
        <f t="shared" si="0"/>
        <v>Frequent Buyer</v>
      </c>
    </row>
    <row r="39" spans="1:6" x14ac:dyDescent="0.3">
      <c r="A39" t="s">
        <v>114</v>
      </c>
      <c r="B39">
        <v>5</v>
      </c>
      <c r="C39">
        <v>13850</v>
      </c>
      <c r="D39" t="s">
        <v>32</v>
      </c>
      <c r="E39" t="s">
        <v>32</v>
      </c>
      <c r="F39" t="str">
        <f t="shared" si="0"/>
        <v>Frequent Buyer</v>
      </c>
    </row>
    <row r="40" spans="1:6" x14ac:dyDescent="0.3">
      <c r="A40" t="s">
        <v>115</v>
      </c>
      <c r="B40">
        <v>1</v>
      </c>
      <c r="C40">
        <v>1744</v>
      </c>
      <c r="D40" t="s">
        <v>24</v>
      </c>
      <c r="E40" t="s">
        <v>32</v>
      </c>
      <c r="F40" t="str">
        <f t="shared" si="0"/>
        <v>Regular</v>
      </c>
    </row>
    <row r="41" spans="1:6" x14ac:dyDescent="0.3">
      <c r="A41" t="s">
        <v>117</v>
      </c>
      <c r="B41">
        <v>2</v>
      </c>
      <c r="C41">
        <v>3324</v>
      </c>
      <c r="D41" t="s">
        <v>23</v>
      </c>
      <c r="E41" t="s">
        <v>23</v>
      </c>
      <c r="F41" t="str">
        <f t="shared" si="0"/>
        <v>Price Sensitive</v>
      </c>
    </row>
    <row r="42" spans="1:6" x14ac:dyDescent="0.3">
      <c r="A42" t="s">
        <v>119</v>
      </c>
      <c r="B42">
        <v>1</v>
      </c>
      <c r="C42">
        <v>1502</v>
      </c>
      <c r="D42" t="s">
        <v>24</v>
      </c>
      <c r="E42" t="s">
        <v>23</v>
      </c>
      <c r="F42" t="str">
        <f t="shared" si="0"/>
        <v>Price Sensitive</v>
      </c>
    </row>
    <row r="43" spans="1:6" x14ac:dyDescent="0.3">
      <c r="A43" t="s">
        <v>121</v>
      </c>
      <c r="B43">
        <v>7</v>
      </c>
      <c r="C43">
        <v>10493</v>
      </c>
      <c r="D43" t="s">
        <v>32</v>
      </c>
      <c r="E43" t="s">
        <v>23</v>
      </c>
      <c r="F43" t="str">
        <f t="shared" si="0"/>
        <v>Frequent Buyer</v>
      </c>
    </row>
    <row r="44" spans="1:6" x14ac:dyDescent="0.3">
      <c r="A44" t="s">
        <v>123</v>
      </c>
      <c r="B44">
        <v>4</v>
      </c>
      <c r="C44">
        <v>15896</v>
      </c>
      <c r="D44" t="s">
        <v>32</v>
      </c>
      <c r="E44" t="s">
        <v>24</v>
      </c>
      <c r="F44" t="str">
        <f t="shared" si="0"/>
        <v>Inactive</v>
      </c>
    </row>
    <row r="45" spans="1:6" x14ac:dyDescent="0.3">
      <c r="A45" t="s">
        <v>124</v>
      </c>
      <c r="B45">
        <v>7</v>
      </c>
      <c r="C45">
        <v>27314</v>
      </c>
      <c r="D45" t="s">
        <v>23</v>
      </c>
      <c r="E45" t="s">
        <v>24</v>
      </c>
      <c r="F45" t="str">
        <f t="shared" si="0"/>
        <v>High Value</v>
      </c>
    </row>
    <row r="46" spans="1:6" x14ac:dyDescent="0.3">
      <c r="A46" t="s">
        <v>125</v>
      </c>
      <c r="B46">
        <v>8</v>
      </c>
      <c r="C46">
        <v>6536</v>
      </c>
      <c r="D46" t="s">
        <v>23</v>
      </c>
      <c r="E46" t="s">
        <v>24</v>
      </c>
      <c r="F46" t="str">
        <f t="shared" si="0"/>
        <v>Frequent Buyer</v>
      </c>
    </row>
    <row r="47" spans="1:6" x14ac:dyDescent="0.3">
      <c r="A47" t="s">
        <v>126</v>
      </c>
      <c r="B47">
        <v>7</v>
      </c>
      <c r="C47">
        <v>23394</v>
      </c>
      <c r="D47" t="s">
        <v>32</v>
      </c>
      <c r="E47" t="s">
        <v>23</v>
      </c>
      <c r="F47" t="str">
        <f t="shared" si="0"/>
        <v>High Value</v>
      </c>
    </row>
    <row r="48" spans="1:6" x14ac:dyDescent="0.3">
      <c r="A48" t="s">
        <v>127</v>
      </c>
      <c r="B48">
        <v>4</v>
      </c>
      <c r="C48">
        <v>15644</v>
      </c>
      <c r="D48" t="s">
        <v>24</v>
      </c>
      <c r="E48" t="s">
        <v>24</v>
      </c>
      <c r="F48" t="str">
        <f t="shared" si="0"/>
        <v>Regular</v>
      </c>
    </row>
    <row r="49" spans="1:6" x14ac:dyDescent="0.3">
      <c r="A49" t="s">
        <v>128</v>
      </c>
      <c r="B49">
        <v>4</v>
      </c>
      <c r="C49">
        <v>9996</v>
      </c>
      <c r="D49" t="s">
        <v>32</v>
      </c>
      <c r="E49" t="s">
        <v>24</v>
      </c>
      <c r="F49" t="str">
        <f t="shared" si="0"/>
        <v>Inactive</v>
      </c>
    </row>
    <row r="50" spans="1:6" x14ac:dyDescent="0.3">
      <c r="A50" t="s">
        <v>130</v>
      </c>
      <c r="B50">
        <v>1</v>
      </c>
      <c r="C50">
        <v>2113</v>
      </c>
      <c r="D50" t="s">
        <v>23</v>
      </c>
      <c r="E50" t="s">
        <v>23</v>
      </c>
      <c r="F50" t="str">
        <f t="shared" si="0"/>
        <v>Price Sensitive</v>
      </c>
    </row>
    <row r="51" spans="1:6" x14ac:dyDescent="0.3">
      <c r="A51" t="s">
        <v>131</v>
      </c>
      <c r="B51">
        <v>7</v>
      </c>
      <c r="C51">
        <v>12880</v>
      </c>
      <c r="D51" t="s">
        <v>32</v>
      </c>
      <c r="E51" t="s">
        <v>24</v>
      </c>
      <c r="F51" t="str">
        <f t="shared" si="0"/>
        <v>Frequent Buyer</v>
      </c>
    </row>
    <row r="52" spans="1:6" x14ac:dyDescent="0.3">
      <c r="A52" t="s">
        <v>133</v>
      </c>
      <c r="B52">
        <v>1</v>
      </c>
      <c r="C52">
        <v>1933</v>
      </c>
      <c r="D52" t="s">
        <v>32</v>
      </c>
      <c r="E52" t="s">
        <v>23</v>
      </c>
      <c r="F52" t="str">
        <f t="shared" si="0"/>
        <v>Inactive</v>
      </c>
    </row>
    <row r="53" spans="1:6" x14ac:dyDescent="0.3">
      <c r="A53" t="s">
        <v>134</v>
      </c>
      <c r="B53">
        <v>8</v>
      </c>
      <c r="C53">
        <v>25936</v>
      </c>
      <c r="D53" t="s">
        <v>32</v>
      </c>
      <c r="E53" t="s">
        <v>23</v>
      </c>
      <c r="F53" t="str">
        <f t="shared" si="0"/>
        <v>High Value</v>
      </c>
    </row>
    <row r="54" spans="1:6" x14ac:dyDescent="0.3">
      <c r="A54" t="s">
        <v>136</v>
      </c>
      <c r="B54">
        <v>2</v>
      </c>
      <c r="C54">
        <v>5740</v>
      </c>
      <c r="D54" t="s">
        <v>32</v>
      </c>
      <c r="E54" t="s">
        <v>24</v>
      </c>
      <c r="F54" t="str">
        <f t="shared" si="0"/>
        <v>Inactive</v>
      </c>
    </row>
    <row r="55" spans="1:6" x14ac:dyDescent="0.3">
      <c r="A55" t="s">
        <v>137</v>
      </c>
      <c r="B55">
        <v>5</v>
      </c>
      <c r="C55">
        <v>19910</v>
      </c>
      <c r="D55" t="s">
        <v>23</v>
      </c>
      <c r="E55" t="s">
        <v>23</v>
      </c>
      <c r="F55" t="str">
        <f t="shared" si="0"/>
        <v>Frequent Buyer</v>
      </c>
    </row>
    <row r="56" spans="1:6" x14ac:dyDescent="0.3">
      <c r="A56" t="s">
        <v>139</v>
      </c>
      <c r="B56">
        <v>7</v>
      </c>
      <c r="C56">
        <v>27076</v>
      </c>
      <c r="D56" t="s">
        <v>24</v>
      </c>
      <c r="E56" t="s">
        <v>32</v>
      </c>
      <c r="F56" t="str">
        <f t="shared" si="0"/>
        <v>High Value</v>
      </c>
    </row>
    <row r="57" spans="1:6" x14ac:dyDescent="0.3">
      <c r="A57" t="s">
        <v>141</v>
      </c>
      <c r="B57">
        <v>5</v>
      </c>
      <c r="C57">
        <v>15110</v>
      </c>
      <c r="D57" t="s">
        <v>23</v>
      </c>
      <c r="E57" t="s">
        <v>24</v>
      </c>
      <c r="F57" t="str">
        <f t="shared" si="0"/>
        <v>Frequent Buyer</v>
      </c>
    </row>
    <row r="58" spans="1:6" x14ac:dyDescent="0.3">
      <c r="A58" t="s">
        <v>142</v>
      </c>
      <c r="B58">
        <v>8</v>
      </c>
      <c r="C58">
        <v>11984</v>
      </c>
      <c r="D58" t="s">
        <v>24</v>
      </c>
      <c r="E58" t="s">
        <v>23</v>
      </c>
      <c r="F58" t="str">
        <f t="shared" si="0"/>
        <v>Frequent Buyer</v>
      </c>
    </row>
    <row r="59" spans="1:6" x14ac:dyDescent="0.3">
      <c r="A59" t="s">
        <v>144</v>
      </c>
      <c r="B59">
        <v>5</v>
      </c>
      <c r="C59">
        <v>9470</v>
      </c>
      <c r="D59" t="s">
        <v>24</v>
      </c>
      <c r="E59" t="s">
        <v>23</v>
      </c>
      <c r="F59" t="str">
        <f t="shared" si="0"/>
        <v>Frequent Buyer</v>
      </c>
    </row>
    <row r="60" spans="1:6" x14ac:dyDescent="0.3">
      <c r="A60" t="s">
        <v>145</v>
      </c>
      <c r="B60">
        <v>4</v>
      </c>
      <c r="C60">
        <v>13312</v>
      </c>
      <c r="D60" t="s">
        <v>24</v>
      </c>
      <c r="E60" t="s">
        <v>23</v>
      </c>
      <c r="F60" t="str">
        <f t="shared" si="0"/>
        <v>Price Sensitive</v>
      </c>
    </row>
    <row r="61" spans="1:6" x14ac:dyDescent="0.3">
      <c r="A61" t="s">
        <v>146</v>
      </c>
      <c r="B61">
        <v>6</v>
      </c>
      <c r="C61">
        <v>14628</v>
      </c>
      <c r="D61" t="s">
        <v>23</v>
      </c>
      <c r="E61" t="s">
        <v>23</v>
      </c>
      <c r="F61" t="str">
        <f t="shared" si="0"/>
        <v>Frequent Buyer</v>
      </c>
    </row>
    <row r="62" spans="1:6" x14ac:dyDescent="0.3">
      <c r="A62" t="s">
        <v>147</v>
      </c>
      <c r="B62">
        <v>5</v>
      </c>
      <c r="C62">
        <v>7220</v>
      </c>
      <c r="D62" t="s">
        <v>32</v>
      </c>
      <c r="E62" t="s">
        <v>23</v>
      </c>
      <c r="F62" t="str">
        <f t="shared" si="0"/>
        <v>Frequent Buyer</v>
      </c>
    </row>
    <row r="63" spans="1:6" x14ac:dyDescent="0.3">
      <c r="A63" t="s">
        <v>149</v>
      </c>
      <c r="B63">
        <v>5</v>
      </c>
      <c r="C63">
        <v>17335</v>
      </c>
      <c r="D63" t="s">
        <v>23</v>
      </c>
      <c r="E63" t="s">
        <v>23</v>
      </c>
      <c r="F63" t="str">
        <f t="shared" si="0"/>
        <v>Frequent Buyer</v>
      </c>
    </row>
    <row r="64" spans="1:6" x14ac:dyDescent="0.3">
      <c r="A64" t="s">
        <v>150</v>
      </c>
      <c r="B64">
        <v>3</v>
      </c>
      <c r="C64">
        <v>4869</v>
      </c>
      <c r="D64" t="s">
        <v>32</v>
      </c>
      <c r="E64" t="s">
        <v>32</v>
      </c>
      <c r="F64" t="str">
        <f t="shared" si="0"/>
        <v>Inactive</v>
      </c>
    </row>
    <row r="65" spans="1:6" x14ac:dyDescent="0.3">
      <c r="A65" t="s">
        <v>151</v>
      </c>
      <c r="B65">
        <v>8</v>
      </c>
      <c r="C65">
        <v>18432</v>
      </c>
      <c r="D65" t="s">
        <v>24</v>
      </c>
      <c r="E65" t="s">
        <v>32</v>
      </c>
      <c r="F65" t="str">
        <f t="shared" si="0"/>
        <v>Frequent Buyer</v>
      </c>
    </row>
    <row r="66" spans="1:6" x14ac:dyDescent="0.3">
      <c r="A66" t="s">
        <v>152</v>
      </c>
      <c r="B66">
        <v>1</v>
      </c>
      <c r="C66">
        <v>1121</v>
      </c>
      <c r="D66" t="s">
        <v>32</v>
      </c>
      <c r="E66" t="s">
        <v>23</v>
      </c>
      <c r="F66" t="str">
        <f t="shared" si="0"/>
        <v>Inactive</v>
      </c>
    </row>
    <row r="67" spans="1:6" x14ac:dyDescent="0.3">
      <c r="A67" t="s">
        <v>153</v>
      </c>
      <c r="B67">
        <v>8</v>
      </c>
      <c r="C67">
        <v>13736</v>
      </c>
      <c r="D67" t="s">
        <v>23</v>
      </c>
      <c r="E67" t="s">
        <v>24</v>
      </c>
      <c r="F67" t="str">
        <f t="shared" ref="F67:F101" si="1">IF(C67&gt;=20000,"High Value",
IF(B67&gt;=5,"Frequent Buyer",
IF(D67="Low","Inactive",
IF(E67="High","Price Sensitive","Regular"))))</f>
        <v>Frequent Buyer</v>
      </c>
    </row>
    <row r="68" spans="1:6" x14ac:dyDescent="0.3">
      <c r="A68" t="s">
        <v>154</v>
      </c>
      <c r="B68">
        <v>2</v>
      </c>
      <c r="C68">
        <v>2286</v>
      </c>
      <c r="D68" t="s">
        <v>32</v>
      </c>
      <c r="E68" t="s">
        <v>32</v>
      </c>
      <c r="F68" t="str">
        <f t="shared" si="1"/>
        <v>Inactive</v>
      </c>
    </row>
    <row r="69" spans="1:6" x14ac:dyDescent="0.3">
      <c r="A69" t="s">
        <v>155</v>
      </c>
      <c r="B69">
        <v>4</v>
      </c>
      <c r="C69">
        <v>6720</v>
      </c>
      <c r="D69" t="s">
        <v>23</v>
      </c>
      <c r="E69" t="s">
        <v>24</v>
      </c>
      <c r="F69" t="str">
        <f t="shared" si="1"/>
        <v>Regular</v>
      </c>
    </row>
    <row r="70" spans="1:6" x14ac:dyDescent="0.3">
      <c r="A70" t="s">
        <v>157</v>
      </c>
      <c r="B70">
        <v>4</v>
      </c>
      <c r="C70">
        <v>12608</v>
      </c>
      <c r="D70" t="s">
        <v>32</v>
      </c>
      <c r="E70" t="s">
        <v>24</v>
      </c>
      <c r="F70" t="str">
        <f t="shared" si="1"/>
        <v>Inactive</v>
      </c>
    </row>
    <row r="71" spans="1:6" x14ac:dyDescent="0.3">
      <c r="A71" t="s">
        <v>158</v>
      </c>
      <c r="B71">
        <v>8</v>
      </c>
      <c r="C71">
        <v>26560</v>
      </c>
      <c r="D71" t="s">
        <v>24</v>
      </c>
      <c r="E71" t="s">
        <v>23</v>
      </c>
      <c r="F71" t="str">
        <f t="shared" si="1"/>
        <v>High Value</v>
      </c>
    </row>
    <row r="72" spans="1:6" x14ac:dyDescent="0.3">
      <c r="A72" t="s">
        <v>160</v>
      </c>
      <c r="B72">
        <v>6</v>
      </c>
      <c r="C72">
        <v>17832</v>
      </c>
      <c r="D72" t="s">
        <v>24</v>
      </c>
      <c r="E72" t="s">
        <v>32</v>
      </c>
      <c r="F72" t="str">
        <f t="shared" si="1"/>
        <v>Frequent Buyer</v>
      </c>
    </row>
    <row r="73" spans="1:6" x14ac:dyDescent="0.3">
      <c r="A73" t="s">
        <v>161</v>
      </c>
      <c r="B73">
        <v>1</v>
      </c>
      <c r="C73">
        <v>3625</v>
      </c>
      <c r="D73" t="s">
        <v>32</v>
      </c>
      <c r="E73" t="s">
        <v>24</v>
      </c>
      <c r="F73" t="str">
        <f t="shared" si="1"/>
        <v>Inactive</v>
      </c>
    </row>
    <row r="74" spans="1:6" x14ac:dyDescent="0.3">
      <c r="A74" t="s">
        <v>162</v>
      </c>
      <c r="B74">
        <v>6</v>
      </c>
      <c r="C74">
        <v>13032</v>
      </c>
      <c r="D74" t="s">
        <v>24</v>
      </c>
      <c r="E74" t="s">
        <v>24</v>
      </c>
      <c r="F74" t="str">
        <f t="shared" si="1"/>
        <v>Frequent Buyer</v>
      </c>
    </row>
    <row r="75" spans="1:6" x14ac:dyDescent="0.3">
      <c r="A75" t="s">
        <v>163</v>
      </c>
      <c r="B75">
        <v>1</v>
      </c>
      <c r="C75">
        <v>2362</v>
      </c>
      <c r="D75" t="s">
        <v>32</v>
      </c>
      <c r="E75" t="s">
        <v>24</v>
      </c>
      <c r="F75" t="str">
        <f t="shared" si="1"/>
        <v>Inactive</v>
      </c>
    </row>
    <row r="76" spans="1:6" x14ac:dyDescent="0.3">
      <c r="A76" t="s">
        <v>165</v>
      </c>
      <c r="B76">
        <v>1</v>
      </c>
      <c r="C76">
        <v>1268</v>
      </c>
      <c r="D76" t="s">
        <v>23</v>
      </c>
      <c r="E76" t="s">
        <v>24</v>
      </c>
      <c r="F76" t="str">
        <f t="shared" si="1"/>
        <v>Regular</v>
      </c>
    </row>
    <row r="77" spans="1:6" x14ac:dyDescent="0.3">
      <c r="A77" t="s">
        <v>167</v>
      </c>
      <c r="B77">
        <v>8</v>
      </c>
      <c r="C77">
        <v>7976</v>
      </c>
      <c r="D77" t="s">
        <v>32</v>
      </c>
      <c r="E77" t="s">
        <v>23</v>
      </c>
      <c r="F77" t="str">
        <f t="shared" si="1"/>
        <v>Frequent Buyer</v>
      </c>
    </row>
    <row r="78" spans="1:6" x14ac:dyDescent="0.3">
      <c r="A78" t="s">
        <v>169</v>
      </c>
      <c r="B78">
        <v>2</v>
      </c>
      <c r="C78">
        <v>4780</v>
      </c>
      <c r="D78" t="s">
        <v>32</v>
      </c>
      <c r="E78" t="s">
        <v>23</v>
      </c>
      <c r="F78" t="str">
        <f t="shared" si="1"/>
        <v>Inactive</v>
      </c>
    </row>
    <row r="79" spans="1:6" x14ac:dyDescent="0.3">
      <c r="A79" t="s">
        <v>170</v>
      </c>
      <c r="B79">
        <v>4</v>
      </c>
      <c r="C79">
        <v>9480</v>
      </c>
      <c r="D79" t="s">
        <v>23</v>
      </c>
      <c r="E79" t="s">
        <v>32</v>
      </c>
      <c r="F79" t="str">
        <f t="shared" si="1"/>
        <v>Regular</v>
      </c>
    </row>
    <row r="80" spans="1:6" x14ac:dyDescent="0.3">
      <c r="A80" t="s">
        <v>172</v>
      </c>
      <c r="B80">
        <v>6</v>
      </c>
      <c r="C80">
        <v>22356</v>
      </c>
      <c r="D80" t="s">
        <v>23</v>
      </c>
      <c r="E80" t="s">
        <v>24</v>
      </c>
      <c r="F80" t="str">
        <f t="shared" si="1"/>
        <v>High Value</v>
      </c>
    </row>
    <row r="81" spans="1:6" x14ac:dyDescent="0.3">
      <c r="A81" t="s">
        <v>173</v>
      </c>
      <c r="B81">
        <v>8</v>
      </c>
      <c r="C81">
        <v>15304</v>
      </c>
      <c r="D81" t="s">
        <v>24</v>
      </c>
      <c r="E81" t="s">
        <v>23</v>
      </c>
      <c r="F81" t="str">
        <f t="shared" si="1"/>
        <v>Frequent Buyer</v>
      </c>
    </row>
    <row r="82" spans="1:6" x14ac:dyDescent="0.3">
      <c r="A82" t="s">
        <v>174</v>
      </c>
      <c r="B82">
        <v>1</v>
      </c>
      <c r="C82">
        <v>1803</v>
      </c>
      <c r="D82" t="s">
        <v>23</v>
      </c>
      <c r="E82" t="s">
        <v>24</v>
      </c>
      <c r="F82" t="str">
        <f t="shared" si="1"/>
        <v>Regular</v>
      </c>
    </row>
    <row r="83" spans="1:6" x14ac:dyDescent="0.3">
      <c r="A83" t="s">
        <v>175</v>
      </c>
      <c r="B83">
        <v>6</v>
      </c>
      <c r="C83">
        <v>5466</v>
      </c>
      <c r="D83" t="s">
        <v>24</v>
      </c>
      <c r="E83" t="s">
        <v>32</v>
      </c>
      <c r="F83" t="str">
        <f t="shared" si="1"/>
        <v>Frequent Buyer</v>
      </c>
    </row>
    <row r="84" spans="1:6" x14ac:dyDescent="0.3">
      <c r="A84" t="s">
        <v>176</v>
      </c>
      <c r="B84">
        <v>5</v>
      </c>
      <c r="C84">
        <v>9430</v>
      </c>
      <c r="D84" t="s">
        <v>23</v>
      </c>
      <c r="E84" t="s">
        <v>23</v>
      </c>
      <c r="F84" t="str">
        <f t="shared" si="1"/>
        <v>Frequent Buyer</v>
      </c>
    </row>
    <row r="85" spans="1:6" x14ac:dyDescent="0.3">
      <c r="A85" t="s">
        <v>178</v>
      </c>
      <c r="B85">
        <v>8</v>
      </c>
      <c r="C85">
        <v>21728</v>
      </c>
      <c r="D85" t="s">
        <v>32</v>
      </c>
      <c r="E85" t="s">
        <v>23</v>
      </c>
      <c r="F85" t="str">
        <f t="shared" si="1"/>
        <v>High Value</v>
      </c>
    </row>
    <row r="86" spans="1:6" x14ac:dyDescent="0.3">
      <c r="A86" t="s">
        <v>180</v>
      </c>
      <c r="B86">
        <v>2</v>
      </c>
      <c r="C86">
        <v>4634</v>
      </c>
      <c r="D86" t="s">
        <v>32</v>
      </c>
      <c r="E86" t="s">
        <v>23</v>
      </c>
      <c r="F86" t="str">
        <f t="shared" si="1"/>
        <v>Inactive</v>
      </c>
    </row>
    <row r="87" spans="1:6" x14ac:dyDescent="0.3">
      <c r="A87" t="s">
        <v>181</v>
      </c>
      <c r="B87">
        <v>3</v>
      </c>
      <c r="C87">
        <v>4500</v>
      </c>
      <c r="D87" t="s">
        <v>23</v>
      </c>
      <c r="E87" t="s">
        <v>24</v>
      </c>
      <c r="F87" t="str">
        <f t="shared" si="1"/>
        <v>Regular</v>
      </c>
    </row>
    <row r="88" spans="1:6" x14ac:dyDescent="0.3">
      <c r="A88" t="s">
        <v>183</v>
      </c>
      <c r="B88">
        <v>3</v>
      </c>
      <c r="C88">
        <v>4353</v>
      </c>
      <c r="D88" t="s">
        <v>24</v>
      </c>
      <c r="E88" t="s">
        <v>23</v>
      </c>
      <c r="F88" t="str">
        <f t="shared" si="1"/>
        <v>Price Sensitive</v>
      </c>
    </row>
    <row r="89" spans="1:6" x14ac:dyDescent="0.3">
      <c r="A89" t="s">
        <v>184</v>
      </c>
      <c r="B89">
        <v>8</v>
      </c>
      <c r="C89">
        <v>15320</v>
      </c>
      <c r="D89" t="s">
        <v>23</v>
      </c>
      <c r="E89" t="s">
        <v>24</v>
      </c>
      <c r="F89" t="str">
        <f t="shared" si="1"/>
        <v>Frequent Buyer</v>
      </c>
    </row>
    <row r="90" spans="1:6" x14ac:dyDescent="0.3">
      <c r="A90" t="s">
        <v>186</v>
      </c>
      <c r="B90">
        <v>4</v>
      </c>
      <c r="C90">
        <v>8248</v>
      </c>
      <c r="D90" t="s">
        <v>23</v>
      </c>
      <c r="E90" t="s">
        <v>24</v>
      </c>
      <c r="F90" t="str">
        <f t="shared" si="1"/>
        <v>Regular</v>
      </c>
    </row>
    <row r="91" spans="1:6" x14ac:dyDescent="0.3">
      <c r="A91" t="s">
        <v>188</v>
      </c>
      <c r="B91">
        <v>1</v>
      </c>
      <c r="C91">
        <v>2983</v>
      </c>
      <c r="D91" t="s">
        <v>23</v>
      </c>
      <c r="E91" t="s">
        <v>24</v>
      </c>
      <c r="F91" t="str">
        <f t="shared" si="1"/>
        <v>Regular</v>
      </c>
    </row>
    <row r="92" spans="1:6" x14ac:dyDescent="0.3">
      <c r="A92" t="s">
        <v>189</v>
      </c>
      <c r="B92">
        <v>3</v>
      </c>
      <c r="C92">
        <v>9219</v>
      </c>
      <c r="D92" t="s">
        <v>32</v>
      </c>
      <c r="E92" t="s">
        <v>23</v>
      </c>
      <c r="F92" t="str">
        <f t="shared" si="1"/>
        <v>Inactive</v>
      </c>
    </row>
    <row r="93" spans="1:6" x14ac:dyDescent="0.3">
      <c r="A93" t="s">
        <v>191</v>
      </c>
      <c r="B93">
        <v>6</v>
      </c>
      <c r="C93">
        <v>21366</v>
      </c>
      <c r="D93" t="s">
        <v>24</v>
      </c>
      <c r="E93" t="s">
        <v>32</v>
      </c>
      <c r="F93" t="str">
        <f t="shared" si="1"/>
        <v>High Value</v>
      </c>
    </row>
    <row r="94" spans="1:6" x14ac:dyDescent="0.3">
      <c r="A94" t="s">
        <v>193</v>
      </c>
      <c r="B94">
        <v>8</v>
      </c>
      <c r="C94">
        <v>30424</v>
      </c>
      <c r="D94" t="s">
        <v>24</v>
      </c>
      <c r="E94" t="s">
        <v>23</v>
      </c>
      <c r="F94" t="str">
        <f t="shared" si="1"/>
        <v>High Value</v>
      </c>
    </row>
    <row r="95" spans="1:6" x14ac:dyDescent="0.3">
      <c r="A95" t="s">
        <v>194</v>
      </c>
      <c r="B95">
        <v>7</v>
      </c>
      <c r="C95">
        <v>3899</v>
      </c>
      <c r="D95" t="s">
        <v>24</v>
      </c>
      <c r="E95" t="s">
        <v>23</v>
      </c>
      <c r="F95" t="str">
        <f t="shared" si="1"/>
        <v>Frequent Buyer</v>
      </c>
    </row>
    <row r="96" spans="1:6" x14ac:dyDescent="0.3">
      <c r="A96" t="s">
        <v>195</v>
      </c>
      <c r="B96">
        <v>4</v>
      </c>
      <c r="C96">
        <v>9724</v>
      </c>
      <c r="D96" t="s">
        <v>32</v>
      </c>
      <c r="E96" t="s">
        <v>23</v>
      </c>
      <c r="F96" t="str">
        <f t="shared" si="1"/>
        <v>Inactive</v>
      </c>
    </row>
    <row r="97" spans="1:6" x14ac:dyDescent="0.3">
      <c r="A97" t="s">
        <v>196</v>
      </c>
      <c r="B97">
        <v>3</v>
      </c>
      <c r="C97">
        <v>2055</v>
      </c>
      <c r="D97" t="s">
        <v>32</v>
      </c>
      <c r="E97" t="s">
        <v>24</v>
      </c>
      <c r="F97" t="str">
        <f t="shared" si="1"/>
        <v>Inactive</v>
      </c>
    </row>
    <row r="98" spans="1:6" x14ac:dyDescent="0.3">
      <c r="A98" t="s">
        <v>197</v>
      </c>
      <c r="B98">
        <v>7</v>
      </c>
      <c r="C98">
        <v>20335</v>
      </c>
      <c r="D98" t="s">
        <v>23</v>
      </c>
      <c r="E98" t="s">
        <v>23</v>
      </c>
      <c r="F98" t="str">
        <f t="shared" si="1"/>
        <v>High Value</v>
      </c>
    </row>
    <row r="99" spans="1:6" x14ac:dyDescent="0.3">
      <c r="A99" t="s">
        <v>198</v>
      </c>
      <c r="B99">
        <v>6</v>
      </c>
      <c r="C99">
        <v>8334</v>
      </c>
      <c r="D99" t="s">
        <v>24</v>
      </c>
      <c r="E99" t="s">
        <v>24</v>
      </c>
      <c r="F99" t="str">
        <f t="shared" si="1"/>
        <v>Frequent Buyer</v>
      </c>
    </row>
    <row r="100" spans="1:6" x14ac:dyDescent="0.3">
      <c r="A100" t="s">
        <v>200</v>
      </c>
      <c r="B100">
        <v>5</v>
      </c>
      <c r="C100">
        <v>6385</v>
      </c>
      <c r="D100" t="s">
        <v>32</v>
      </c>
      <c r="E100" t="s">
        <v>24</v>
      </c>
      <c r="F100" t="str">
        <f t="shared" si="1"/>
        <v>Frequent Buyer</v>
      </c>
    </row>
    <row r="101" spans="1:6" x14ac:dyDescent="0.3">
      <c r="A101" t="s">
        <v>201</v>
      </c>
      <c r="B101">
        <v>3</v>
      </c>
      <c r="C101">
        <v>11169</v>
      </c>
      <c r="D101" t="s">
        <v>23</v>
      </c>
      <c r="E101" t="s">
        <v>32</v>
      </c>
      <c r="F101" t="str">
        <f t="shared" si="1"/>
        <v>Regular</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995AE-D09D-49E6-AE68-1E96CB3BAD11}">
  <dimension ref="A1:B5"/>
  <sheetViews>
    <sheetView workbookViewId="0">
      <selection activeCell="B3" sqref="B3"/>
    </sheetView>
  </sheetViews>
  <sheetFormatPr defaultRowHeight="14.4" x14ac:dyDescent="0.3"/>
  <sheetData>
    <row r="1" spans="1:2" x14ac:dyDescent="0.3">
      <c r="A1" s="2" t="s">
        <v>202</v>
      </c>
      <c r="B1" s="2" t="s">
        <v>203</v>
      </c>
    </row>
    <row r="2" spans="1:2" x14ac:dyDescent="0.3">
      <c r="A2" t="s">
        <v>204</v>
      </c>
      <c r="B2">
        <f>COUNTA('Cleaned Data'!A:A)-1</f>
        <v>100</v>
      </c>
    </row>
    <row r="3" spans="1:2" x14ac:dyDescent="0.3">
      <c r="A3" t="s">
        <v>205</v>
      </c>
      <c r="B3">
        <f>SUM('Cleaned Data'!I:I)</f>
        <v>999222</v>
      </c>
    </row>
    <row r="4" spans="1:2" x14ac:dyDescent="0.3">
      <c r="A4" t="s">
        <v>7</v>
      </c>
      <c r="B4">
        <f>AVERAGE('Cleaned Data'!H:H)</f>
        <v>2323.1999999999998</v>
      </c>
    </row>
    <row r="5" spans="1:2" x14ac:dyDescent="0.3">
      <c r="A5" t="s">
        <v>206</v>
      </c>
      <c r="B5">
        <f>AVERAGE('Cleaned Data'!G:G)</f>
        <v>4.17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438C5-C306-4500-95FA-43BB227998E1}">
  <dimension ref="A1"/>
  <sheetViews>
    <sheetView showGridLines="0" topLeftCell="C3" zoomScale="69" zoomScaleNormal="69" workbookViewId="0">
      <selection activeCell="AF13" sqref="AF1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Raw_Data</vt:lpstr>
      <vt:lpstr>Sheet4</vt:lpstr>
      <vt:lpstr>Sheet10</vt:lpstr>
      <vt:lpstr>Sheet11</vt:lpstr>
      <vt:lpstr>Sheet12</vt:lpstr>
      <vt:lpstr>Sheet13</vt:lpstr>
      <vt:lpstr>Sheet15</vt:lpstr>
      <vt:lpstr>Sheet16</vt:lpstr>
      <vt:lpstr>Cleaned Data</vt:lpstr>
      <vt:lpstr>Segmentation Sheet</vt:lpstr>
      <vt:lpstr>KPI Summary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asmitha keets</cp:lastModifiedBy>
  <dcterms:created xsi:type="dcterms:W3CDTF">2026-04-13T12:43:39Z</dcterms:created>
  <dcterms:modified xsi:type="dcterms:W3CDTF">2026-04-13T17:40:51Z</dcterms:modified>
</cp:coreProperties>
</file>